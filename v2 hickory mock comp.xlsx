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500" firstSheet="1" autoFilterDateGrouping="1"/>
  </bookViews>
  <sheets>
    <sheet name="Output" sheetId="1" state="visible" r:id="rId1"/>
    <sheet name="Building Summary" sheetId="2" state="visible" r:id="rId2"/>
    <sheet name="Data_Summary" sheetId="3" state="visible" r:id="rId3"/>
    <sheet name="RD Condos" sheetId="4" state="visible" r:id="rId4"/>
    <sheet name="RD Apartments" sheetId="5" state="visible" r:id="rId5"/>
    <sheet name="Floor Plans" sheetId="6" state="visible" r:id="rId6"/>
  </sheets>
  <definedNames>
    <definedName name="_xlnm._FilterDatabase" localSheetId="3" hidden="1">'RD Condos'!$A$1:$AN$31</definedName>
    <definedName name="_xlnm._FilterDatabase" localSheetId="4" hidden="1">'RD Apartments'!$A$1:$AN$31</definedName>
    <definedName name="_xlnm._FilterDatabase" localSheetId="5" hidden="1">'Floor Plans'!$A$1:$H$1</definedName>
  </definedNames>
  <calcPr calcId="191029" fullCalcOnLoad="1" iterate="1" iterateCount="1000"/>
</workbook>
</file>

<file path=xl/styles.xml><?xml version="1.0" encoding="utf-8"?>
<styleSheet xmlns="http://schemas.openxmlformats.org/spreadsheetml/2006/main">
  <numFmts count="14">
    <numFmt numFmtId="164" formatCode="\$0.00"/>
    <numFmt numFmtId="165" formatCode="\$#,##0"/>
    <numFmt numFmtId="166" formatCode="0.0%"/>
    <numFmt numFmtId="167" formatCode="yyyy\-mm\-dd"/>
    <numFmt numFmtId="168" formatCode="#,##0_);\(#,##0\);\-_)"/>
    <numFmt numFmtId="169" formatCode="&quot;$&quot;#,##0_);\(&quot;$&quot;#,##0\);\-_)"/>
    <numFmt numFmtId="170" formatCode="0.0%_);\(0.0%\);\-_)"/>
    <numFmt numFmtId="171" formatCode="&quot;$&quot;#,##0.0,,&quot;M&quot;;\(&quot;$&quot;#,##0.0,,&quot;M&quot;\);\-"/>
    <numFmt numFmtId="172" formatCode="&quot;$&quot;#,##0"/>
    <numFmt numFmtId="173" formatCode="&quot;$&quot;#,##0.00_);\(&quot;$&quot;#,##0.00\);\-_)"/>
    <numFmt numFmtId="174" formatCode="_-&quot;$&quot;* #,##0.00_-;\-&quot;$&quot;* #,##0.00_-;_-&quot;$&quot;* &quot;-&quot;??_-;_-@_-"/>
    <numFmt numFmtId="175" formatCode="$#,##0.00"/>
    <numFmt numFmtId="176" formatCode="$#,##0"/>
    <numFmt numFmtId="177" formatCode="yyyy-mm-dd"/>
  </numFmts>
  <fonts count="37">
    <font>
      <name val="Arial"/>
      <charset val="1"/>
      <sz val="10"/>
    </font>
    <font>
      <name val="Arial"/>
      <family val="2"/>
      <sz val="10"/>
    </font>
    <font>
      <name val="Arial"/>
      <family val="2"/>
      <b val="1"/>
      <color rgb="FFFFFFFF"/>
      <sz val="13"/>
    </font>
    <font>
      <name val="Arial"/>
      <family val="2"/>
      <i val="1"/>
      <color rgb="FF1B5E20"/>
      <sz val="9"/>
    </font>
    <font>
      <name val="Arial"/>
      <family val="2"/>
      <b val="1"/>
      <sz val="10"/>
    </font>
    <font>
      <name val="Arial"/>
      <family val="2"/>
      <b val="1"/>
      <color rgb="FF1B5E20"/>
      <sz val="18"/>
    </font>
    <font>
      <name val="Arial"/>
      <family val="2"/>
      <i val="1"/>
      <color rgb="FF595959"/>
      <sz val="9"/>
    </font>
    <font>
      <name val="Arial"/>
      <family val="2"/>
      <color rgb="FF595959"/>
      <sz val="10"/>
    </font>
    <font>
      <name val="Arial"/>
      <family val="2"/>
      <b val="1"/>
      <color rgb="FF1B5E20"/>
      <sz val="12"/>
    </font>
    <font>
      <name val="Arial"/>
      <family val="2"/>
      <b val="1"/>
      <color rgb="FFFFFFFF"/>
      <sz val="9"/>
    </font>
    <font>
      <name val="Arial"/>
      <family val="2"/>
      <b val="1"/>
      <color rgb="FF0000FF"/>
      <sz val="12"/>
    </font>
    <font>
      <name val="Arial"/>
      <family val="2"/>
      <b val="1"/>
      <color rgb="FF1F3864"/>
      <sz val="11"/>
    </font>
    <font>
      <name val="Arial"/>
      <family val="2"/>
      <color rgb="FF006100"/>
      <sz val="9"/>
    </font>
    <font>
      <name val="Arial"/>
      <family val="2"/>
      <color rgb="FF9C6500"/>
      <sz val="9"/>
    </font>
    <font>
      <name val="Arial"/>
      <family val="2"/>
      <color rgb="FF9C0006"/>
      <sz val="9"/>
    </font>
    <font>
      <name val="Arial"/>
      <family val="2"/>
      <b val="1"/>
      <color rgb="FF1F3864"/>
      <sz val="14"/>
    </font>
    <font>
      <name val="Calibri"/>
      <charset val="1"/>
      <family val="2"/>
      <color theme="1"/>
      <sz val="11"/>
    </font>
    <font>
      <name val="Arial"/>
      <family val="2"/>
      <b val="1"/>
      <color rgb="FF006100"/>
      <sz val="10"/>
    </font>
    <font>
      <name val="Arial"/>
      <family val="2"/>
      <b val="1"/>
      <color rgb="FF0000FF"/>
      <sz val="10"/>
    </font>
    <font>
      <name val="Arial"/>
      <family val="2"/>
      <b val="1"/>
      <color rgb="FF1B5E20"/>
      <sz val="11"/>
    </font>
    <font>
      <name val="Arial"/>
      <family val="2"/>
      <color rgb="FF0000FF"/>
      <sz val="10"/>
    </font>
    <font>
      <name val="Arial"/>
      <family val="2"/>
      <color theme="10"/>
      <sz val="10"/>
      <u val="single"/>
    </font>
    <font>
      <name val="Arial"/>
      <charset val="1"/>
      <family val="2"/>
      <b val="1"/>
      <color rgb="FFFFFFFF"/>
      <sz val="9"/>
    </font>
    <font>
      <name val="Calibri"/>
      <family val="2"/>
      <color theme="1"/>
      <sz val="11"/>
    </font>
    <font>
      <name val="Arial"/>
      <family val="2"/>
      <color theme="0"/>
      <sz val="10"/>
    </font>
    <font>
      <name val="Arial"/>
      <family val="2"/>
      <b val="1"/>
      <color theme="0"/>
      <sz val="10"/>
    </font>
    <font>
      <name val="Arial Bold"/>
      <b val="1"/>
      <color theme="0"/>
      <sz val="10"/>
    </font>
    <font>
      <name val="Arial"/>
      <family val="2"/>
      <b val="1"/>
      <color theme="0"/>
      <sz val="10"/>
      <vertAlign val="superscript"/>
    </font>
    <font>
      <name val="Arial"/>
      <family val="2"/>
      <b val="1"/>
      <color theme="1"/>
      <sz val="10"/>
    </font>
    <font>
      <name val="Arial"/>
      <family val="2"/>
      <color theme="1"/>
      <sz val="10"/>
    </font>
    <font>
      <name val="Arial"/>
      <family val="2"/>
      <i val="1"/>
      <color theme="1"/>
      <sz val="10"/>
    </font>
    <font>
      <name val="Arial"/>
      <family val="2"/>
      <b val="1"/>
      <color theme="0"/>
      <sz val="10"/>
      <u val="singleAccounting"/>
    </font>
    <font>
      <name val="Arial"/>
      <family val="2"/>
      <color theme="0"/>
      <sz val="10"/>
      <u val="singleAccounting"/>
    </font>
    <font>
      <color rgb="00000000"/>
    </font>
    <font>
      <color rgb="000000FF"/>
    </font>
    <font>
      <b val="1"/>
    </font>
    <font>
      <i val="1"/>
    </font>
  </fonts>
  <fills count="22">
    <fill>
      <patternFill/>
    </fill>
    <fill>
      <patternFill patternType="gray125"/>
    </fill>
    <fill>
      <patternFill patternType="solid">
        <fgColor rgb="FF2E7D32"/>
        <bgColor rgb="FF1B5E20"/>
      </patternFill>
    </fill>
    <fill>
      <patternFill patternType="solid">
        <fgColor rgb="FFE8F5E9"/>
        <bgColor rgb="FFE2EFDA"/>
      </patternFill>
    </fill>
    <fill>
      <patternFill patternType="solid">
        <fgColor rgb="FFC6EFCE"/>
        <bgColor rgb="FFC8E6C9"/>
      </patternFill>
    </fill>
    <fill>
      <patternFill patternType="solid">
        <fgColor rgb="FF1F3864"/>
        <bgColor rgb="FF333399"/>
      </patternFill>
    </fill>
    <fill>
      <patternFill patternType="solid">
        <fgColor rgb="FFFFFF00"/>
        <bgColor rgb="FFFFFF00"/>
      </patternFill>
    </fill>
    <fill>
      <patternFill patternType="solid">
        <fgColor rgb="FFFFF2CC"/>
        <bgColor rgb="FFFCE4D6"/>
      </patternFill>
    </fill>
    <fill>
      <patternFill patternType="solid">
        <fgColor rgb="FFFFEB9C"/>
        <bgColor rgb="FFFFF2CC"/>
      </patternFill>
    </fill>
    <fill>
      <patternFill patternType="solid">
        <fgColor rgb="FFFFC7CE"/>
        <bgColor rgb="FFFCE4D6"/>
      </patternFill>
    </fill>
    <fill>
      <patternFill patternType="solid">
        <fgColor rgb="FFD9E1F2"/>
        <bgColor rgb="FFE2EFDA"/>
      </patternFill>
    </fill>
    <fill>
      <patternFill patternType="solid">
        <fgColor rgb="FFE2EFDA"/>
        <bgColor rgb="FFE8F5E9"/>
      </patternFill>
    </fill>
    <fill>
      <patternFill patternType="solid">
        <fgColor rgb="FFFCE4D6"/>
        <bgColor rgb="FFFFF2CC"/>
      </patternFill>
    </fill>
    <fill>
      <patternFill patternType="solid">
        <fgColor theme="3" tint="-0.249977111117893"/>
        <bgColor indexed="64"/>
      </patternFill>
    </fill>
    <fill>
      <patternFill patternType="solid">
        <fgColor theme="3" tint="-0.499984740745262"/>
        <bgColor indexed="64"/>
      </patternFill>
    </fill>
    <fill>
      <patternFill patternType="solid">
        <fgColor rgb="FFCCECFF"/>
        <bgColor indexed="64"/>
      </patternFill>
    </fill>
    <fill>
      <patternFill patternType="solid">
        <fgColor theme="0" tint="-0.249977111117893"/>
        <bgColor indexed="64"/>
      </patternFill>
    </fill>
    <fill>
      <patternFill patternType="solid">
        <fgColor rgb="FFFFFFCC"/>
        <bgColor indexed="64"/>
      </patternFill>
    </fill>
    <fill>
      <patternFill patternType="solid">
        <fgColor rgb="FFFFF2CC"/>
        <bgColor indexed="64"/>
      </patternFill>
    </fill>
    <fill>
      <patternFill patternType="solid">
        <fgColor theme="0" tint="-0.1499984740745262"/>
        <bgColor indexed="64"/>
      </patternFill>
    </fill>
    <fill>
      <patternFill patternType="solid">
        <fgColor rgb="00FFF2CC"/>
      </patternFill>
    </fill>
    <fill>
      <patternFill patternType="solid">
        <fgColor rgb="00D9E1F2"/>
      </patternFill>
    </fill>
  </fills>
  <borders count="41">
    <border>
      <left/>
      <right/>
      <top/>
      <bottom/>
      <diagonal/>
    </border>
    <border>
      <left style="medium">
        <color rgb="FF2E7D32"/>
      </left>
      <right style="medium">
        <color rgb="FF2E7D32"/>
      </right>
      <top style="medium">
        <color rgb="FF2E7D32"/>
      </top>
      <bottom style="thin">
        <color rgb="FFC8E6C9"/>
      </bottom>
      <diagonal/>
    </border>
    <border>
      <left style="medium">
        <color rgb="FF2E7D32"/>
      </left>
      <right style="medium">
        <color rgb="FF2E7D32"/>
      </right>
      <top style="thin">
        <color rgb="FFC8E6C9"/>
      </top>
      <bottom style="thin">
        <color rgb="FFC8E6C9"/>
      </bottom>
      <diagonal/>
    </border>
    <border>
      <left style="medium">
        <color rgb="FF2E7D32"/>
      </left>
      <right style="thin">
        <color rgb="FFC8E6C9"/>
      </right>
      <top style="thin">
        <color rgb="FFC8E6C9"/>
      </top>
      <bottom style="thin">
        <color rgb="FFC8E6C9"/>
      </bottom>
      <diagonal/>
    </border>
    <border>
      <left style="thin">
        <color rgb="FFC8E6C9"/>
      </left>
      <right style="thin">
        <color rgb="FFC8E6C9"/>
      </right>
      <top style="thin">
        <color rgb="FFC8E6C9"/>
      </top>
      <bottom style="thin">
        <color rgb="FFC8E6C9"/>
      </bottom>
      <diagonal/>
    </border>
    <border>
      <left style="thin">
        <color rgb="FFC8E6C9"/>
      </left>
      <right style="medium">
        <color rgb="FF2E7D32"/>
      </right>
      <top style="thin">
        <color rgb="FFC8E6C9"/>
      </top>
      <bottom style="thin">
        <color rgb="FFC8E6C9"/>
      </bottom>
      <diagonal/>
    </border>
    <border>
      <left style="medium">
        <color rgb="FF2E7D32"/>
      </left>
      <right style="thin">
        <color rgb="FFC8E6C9"/>
      </right>
      <top style="thin">
        <color rgb="FFC8E6C9"/>
      </top>
      <bottom style="medium">
        <color rgb="FF2E7D32"/>
      </bottom>
      <diagonal/>
    </border>
    <border>
      <left style="thin">
        <color rgb="FFC8E6C9"/>
      </left>
      <right style="thin">
        <color rgb="FFC8E6C9"/>
      </right>
      <top style="thin">
        <color rgb="FFC8E6C9"/>
      </top>
      <bottom style="medium">
        <color rgb="FF2E7D32"/>
      </bottom>
      <diagonal/>
    </border>
    <border>
      <left style="thin">
        <color rgb="FFC8E6C9"/>
      </left>
      <right style="medium">
        <color rgb="FF2E7D32"/>
      </right>
      <top style="thin">
        <color rgb="FFC8E6C9"/>
      </top>
      <bottom style="medium">
        <color rgb="FF2E7D32"/>
      </bottom>
      <diagonal/>
    </border>
    <border>
      <left/>
      <right/>
      <top/>
      <bottom style="thin">
        <color indexed="64"/>
      </bottom>
      <diagonal/>
    </border>
    <border>
      <left/>
      <right/>
      <top/>
      <bottom style="thin">
        <color theme="0"/>
      </bottom>
      <diagonal/>
    </border>
    <border>
      <left/>
      <right/>
      <top style="thin">
        <color theme="1"/>
      </top>
      <bottom/>
      <diagonal/>
    </border>
    <border>
      <left/>
      <right/>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theme="1"/>
      </right>
      <top style="thin">
        <color theme="1"/>
      </top>
      <bottom/>
      <diagonal/>
    </border>
    <border>
      <left/>
      <right style="thin">
        <color theme="1"/>
      </right>
      <top/>
      <bottom/>
      <diagonal/>
    </border>
    <border>
      <left/>
      <right style="thin">
        <color theme="1"/>
      </right>
      <top/>
      <bottom style="thin">
        <color theme="1"/>
      </bottom>
      <diagonal/>
    </border>
    <border>
      <left style="thin">
        <color theme="1"/>
      </left>
      <right/>
      <top style="thin">
        <color theme="1"/>
      </top>
      <bottom/>
      <diagonal/>
    </border>
    <border>
      <left style="thin">
        <color theme="1"/>
      </left>
      <right/>
      <top/>
      <bottom/>
      <diagonal/>
    </border>
    <border>
      <left style="thin">
        <color theme="1"/>
      </left>
      <right/>
      <top/>
      <bottom style="thin">
        <color theme="1"/>
      </bottom>
      <diagonal/>
    </border>
    <border>
      <left style="thin">
        <color theme="1"/>
      </left>
      <right/>
      <top style="thin">
        <color theme="1"/>
      </top>
      <bottom style="thin">
        <color theme="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theme="0"/>
      </bottom>
      <diagonal/>
    </border>
    <border>
      <left/>
      <right/>
      <top style="medium">
        <color rgb="FF2E7D32"/>
      </top>
      <bottom/>
      <diagonal/>
    </border>
    <border>
      <left/>
      <right style="medium">
        <color rgb="FF2E7D32"/>
      </right>
      <top style="medium">
        <color rgb="FF2E7D32"/>
      </top>
      <bottom/>
      <diagonal/>
    </border>
    <border>
      <left/>
      <right/>
      <top style="medium">
        <color rgb="FF2E7D32"/>
      </top>
      <bottom style="thin">
        <color rgb="FFC8E6C9"/>
      </bottom>
      <diagonal/>
    </border>
    <border>
      <left/>
      <right style="medium">
        <color rgb="FF2E7D32"/>
      </right>
      <top style="medium">
        <color rgb="FF2E7D32"/>
      </top>
      <bottom style="thin">
        <color rgb="FFC8E6C9"/>
      </bottom>
      <diagonal/>
    </border>
    <border>
      <left/>
      <right/>
      <top style="thin">
        <color rgb="FFC8E6C9"/>
      </top>
      <bottom/>
      <diagonal/>
    </border>
    <border>
      <left/>
      <right style="medium">
        <color rgb="FF2E7D32"/>
      </right>
      <top style="thin">
        <color rgb="FFC8E6C9"/>
      </top>
      <bottom/>
      <diagonal/>
    </border>
    <border>
      <left/>
      <right/>
      <top style="thin">
        <color rgb="FFC8E6C9"/>
      </top>
      <bottom style="thin">
        <color rgb="FFC8E6C9"/>
      </bottom>
      <diagonal/>
    </border>
    <border>
      <left/>
      <right style="medium">
        <color rgb="FF2E7D32"/>
      </right>
      <top style="thin">
        <color rgb="FFC8E6C9"/>
      </top>
      <bottom style="thin">
        <color rgb="FFC8E6C9"/>
      </bottom>
      <diagonal/>
    </border>
  </borders>
  <cellStyleXfs count="2">
    <xf numFmtId="0" fontId="0" fillId="0" borderId="0"/>
    <xf numFmtId="0" fontId="21" fillId="0" borderId="0"/>
  </cellStyleXfs>
  <cellXfs count="234">
    <xf numFmtId="0" fontId="0" fillId="0" borderId="0" pivotButton="0" quotePrefix="0" xfId="0"/>
    <xf numFmtId="0" fontId="6" fillId="0" borderId="0" pivotButton="0" quotePrefix="0" xfId="0"/>
    <xf numFmtId="0" fontId="0" fillId="0" borderId="3" pivotButton="0" quotePrefix="0" xfId="0"/>
    <xf numFmtId="0" fontId="0" fillId="0" borderId="4" pivotButton="0" quotePrefix="0" xfId="0"/>
    <xf numFmtId="0" fontId="0" fillId="0" borderId="5" pivotButton="0" quotePrefix="0" xfId="0"/>
    <xf numFmtId="0" fontId="4" fillId="0" borderId="3" pivotButton="0" quotePrefix="0" xfId="0"/>
    <xf numFmtId="164" fontId="5" fillId="4" borderId="4" pivotButton="0" quotePrefix="0" xfId="0"/>
    <xf numFmtId="0" fontId="6" fillId="0" borderId="3" pivotButton="0" quotePrefix="0" xfId="0"/>
    <xf numFmtId="0" fontId="7" fillId="0" borderId="3" pivotButton="0" quotePrefix="0" xfId="0"/>
    <xf numFmtId="164" fontId="8" fillId="0" borderId="4" pivotButton="0" quotePrefix="0" xfId="0"/>
    <xf numFmtId="0" fontId="9" fillId="5" borderId="3" applyAlignment="1" pivotButton="0" quotePrefix="0" xfId="0">
      <alignment horizontal="center"/>
    </xf>
    <xf numFmtId="0" fontId="9" fillId="5" borderId="4" applyAlignment="1" pivotButton="0" quotePrefix="0" xfId="0">
      <alignment horizontal="center"/>
    </xf>
    <xf numFmtId="3" fontId="0" fillId="0" borderId="4" pivotButton="0" quotePrefix="0" xfId="0"/>
    <xf numFmtId="165" fontId="8" fillId="4" borderId="4" pivotButton="0" quotePrefix="0" xfId="0"/>
    <xf numFmtId="3" fontId="10" fillId="6" borderId="4" pivotButton="0" quotePrefix="0" xfId="0"/>
    <xf numFmtId="0" fontId="0" fillId="0" borderId="6" pivotButton="0" quotePrefix="0" xfId="0"/>
    <xf numFmtId="0" fontId="0" fillId="0" borderId="7" pivotButton="0" quotePrefix="0" xfId="0"/>
    <xf numFmtId="165" fontId="0" fillId="0" borderId="7" pivotButton="0" quotePrefix="0" xfId="0"/>
    <xf numFmtId="0" fontId="0" fillId="0" borderId="8" pivotButton="0" quotePrefix="0" xfId="0"/>
    <xf numFmtId="0" fontId="11" fillId="0" borderId="0" pivotButton="0" quotePrefix="0" xfId="0"/>
    <xf numFmtId="164" fontId="4" fillId="0" borderId="0" pivotButton="0" quotePrefix="0" xfId="0"/>
    <xf numFmtId="166" fontId="4" fillId="0" borderId="0" pivotButton="0" quotePrefix="0" xfId="0"/>
    <xf numFmtId="164" fontId="8" fillId="4" borderId="0" pivotButton="0" quotePrefix="0" xfId="0"/>
    <xf numFmtId="164" fontId="4" fillId="7" borderId="0" pivotButton="0" quotePrefix="0" xfId="0"/>
    <xf numFmtId="0" fontId="4" fillId="0" borderId="0" pivotButton="0" quotePrefix="0" xfId="0"/>
    <xf numFmtId="0" fontId="9" fillId="5" borderId="0" applyAlignment="1" pivotButton="0" quotePrefix="0" xfId="0">
      <alignment horizontal="center"/>
    </xf>
    <xf numFmtId="3" fontId="0" fillId="0" borderId="0" pivotButton="0" quotePrefix="0" xfId="0"/>
    <xf numFmtId="165" fontId="0" fillId="0" borderId="0" pivotButton="0" quotePrefix="0" xfId="0"/>
    <xf numFmtId="164" fontId="0" fillId="4" borderId="0" pivotButton="0" quotePrefix="0" xfId="0"/>
    <xf numFmtId="164" fontId="0" fillId="8" borderId="0" pivotButton="0" quotePrefix="0" xfId="0"/>
    <xf numFmtId="0" fontId="15" fillId="0" borderId="0" pivotButton="0" quotePrefix="0" xfId="0"/>
    <xf numFmtId="0" fontId="9" fillId="5" borderId="0" applyAlignment="1" pivotButton="0" quotePrefix="0" xfId="0">
      <alignment horizontal="center" wrapText="1"/>
    </xf>
    <xf numFmtId="3" fontId="16" fillId="0" borderId="0" pivotButton="0" quotePrefix="0" xfId="0"/>
    <xf numFmtId="165" fontId="16" fillId="0" borderId="0" pivotButton="0" quotePrefix="0" xfId="0"/>
    <xf numFmtId="164" fontId="17" fillId="4" borderId="0" pivotButton="0" quotePrefix="0" xfId="0"/>
    <xf numFmtId="0" fontId="4" fillId="10" borderId="0" pivotButton="0" quotePrefix="0" xfId="0"/>
    <xf numFmtId="0" fontId="16" fillId="10" borderId="0" pivotButton="0" quotePrefix="0" xfId="0"/>
    <xf numFmtId="3" fontId="16" fillId="10" borderId="0" pivotButton="0" quotePrefix="0" xfId="0"/>
    <xf numFmtId="165" fontId="16" fillId="10" borderId="0" pivotButton="0" quotePrefix="0" xfId="0"/>
    <xf numFmtId="164" fontId="16" fillId="10" borderId="0" pivotButton="0" quotePrefix="0" xfId="0"/>
    <xf numFmtId="167" fontId="18" fillId="6" borderId="0" pivotButton="0" quotePrefix="0" xfId="0"/>
    <xf numFmtId="0" fontId="18" fillId="6" borderId="0" pivotButton="0" quotePrefix="0" xfId="0"/>
    <xf numFmtId="9" fontId="18" fillId="6" borderId="0" pivotButton="0" quotePrefix="0" xfId="0"/>
    <xf numFmtId="166" fontId="18" fillId="6" borderId="0" pivotButton="0" quotePrefix="0" xfId="0"/>
    <xf numFmtId="164" fontId="16" fillId="0" borderId="0" pivotButton="0" quotePrefix="0" xfId="0"/>
    <xf numFmtId="0" fontId="9" fillId="5" borderId="0" pivotButton="0" quotePrefix="0" xfId="0"/>
    <xf numFmtId="165" fontId="19" fillId="0" borderId="0" pivotButton="0" quotePrefix="0" xfId="0"/>
    <xf numFmtId="0" fontId="19" fillId="0" borderId="0" pivotButton="0" quotePrefix="0" xfId="0"/>
    <xf numFmtId="166" fontId="16" fillId="0" borderId="0" pivotButton="0" quotePrefix="0" xfId="0"/>
    <xf numFmtId="164" fontId="19" fillId="4" borderId="0" pivotButton="0" quotePrefix="0" xfId="0"/>
    <xf numFmtId="164" fontId="18" fillId="0" borderId="0" pivotButton="0" quotePrefix="0" xfId="0"/>
    <xf numFmtId="3" fontId="16" fillId="11" borderId="0" pivotButton="0" quotePrefix="0" xfId="0"/>
    <xf numFmtId="164" fontId="16" fillId="11" borderId="0" pivotButton="0" quotePrefix="0" xfId="0"/>
    <xf numFmtId="167" fontId="16" fillId="0" borderId="0" pivotButton="0" quotePrefix="0" xfId="0"/>
    <xf numFmtId="3" fontId="20" fillId="0" borderId="0" pivotButton="0" quotePrefix="0" xfId="0"/>
    <xf numFmtId="3" fontId="16" fillId="7" borderId="0" pivotButton="0" quotePrefix="0" xfId="0"/>
    <xf numFmtId="164" fontId="16" fillId="7" borderId="0" pivotButton="0" quotePrefix="0" xfId="0"/>
    <xf numFmtId="3" fontId="16" fillId="12" borderId="0" pivotButton="0" quotePrefix="0" xfId="0"/>
    <xf numFmtId="164" fontId="16" fillId="12" borderId="0" pivotButton="0" quotePrefix="0" xfId="0"/>
    <xf numFmtId="0" fontId="16" fillId="11" borderId="0" pivotButton="0" quotePrefix="0" xfId="0"/>
    <xf numFmtId="0" fontId="1" fillId="0" borderId="0" pivotButton="0" quotePrefix="0" xfId="0"/>
    <xf numFmtId="0" fontId="21" fillId="0" borderId="0" pivotButton="0" quotePrefix="0" xfId="1"/>
    <xf numFmtId="0" fontId="9" fillId="5" borderId="9" applyAlignment="1" pivotButton="0" quotePrefix="0" xfId="0">
      <alignment horizontal="center" wrapText="1"/>
    </xf>
    <xf numFmtId="164" fontId="23" fillId="0" borderId="0" pivotButton="0" quotePrefix="0" xfId="0"/>
    <xf numFmtId="0" fontId="22" fillId="13" borderId="0" applyAlignment="1" pivotButton="0" quotePrefix="0" xfId="0">
      <alignment horizontal="center" wrapText="1"/>
    </xf>
    <xf numFmtId="0" fontId="24" fillId="14" borderId="0" pivotButton="0" quotePrefix="0" xfId="0"/>
    <xf numFmtId="0" fontId="25" fillId="14" borderId="0" applyAlignment="1" pivotButton="0" quotePrefix="0" xfId="0">
      <alignment horizontal="center" vertical="center" wrapText="1"/>
    </xf>
    <xf numFmtId="0" fontId="26" fillId="14" borderId="0" applyAlignment="1" pivotButton="0" quotePrefix="0" xfId="0">
      <alignment horizontal="center" vertical="center"/>
    </xf>
    <xf numFmtId="0" fontId="0" fillId="0" borderId="10" pivotButton="0" quotePrefix="0" xfId="0"/>
    <xf numFmtId="0" fontId="25" fillId="14" borderId="10" applyAlignment="1" pivotButton="0" quotePrefix="0" xfId="0">
      <alignment horizontal="centerContinuous"/>
    </xf>
    <xf numFmtId="0" fontId="24" fillId="14" borderId="10" applyAlignment="1" pivotButton="0" quotePrefix="0" xfId="0">
      <alignment horizontal="centerContinuous"/>
    </xf>
    <xf numFmtId="0" fontId="0" fillId="16" borderId="11" pivotButton="0" quotePrefix="0" xfId="0"/>
    <xf numFmtId="0" fontId="0" fillId="15" borderId="12" pivotButton="0" quotePrefix="0" xfId="0"/>
    <xf numFmtId="0" fontId="0" fillId="15" borderId="11" pivotButton="0" quotePrefix="0" xfId="0"/>
    <xf numFmtId="0" fontId="0" fillId="15" borderId="15" pivotButton="0" quotePrefix="0" xfId="0"/>
    <xf numFmtId="0" fontId="0" fillId="0" borderId="16" pivotButton="0" quotePrefix="0" xfId="0"/>
    <xf numFmtId="0" fontId="0" fillId="16" borderId="15" pivotButton="0" quotePrefix="0" xfId="0"/>
    <xf numFmtId="0" fontId="0" fillId="15" borderId="17" pivotButton="0" quotePrefix="0" xfId="0"/>
    <xf numFmtId="0" fontId="4" fillId="15" borderId="18" pivotButton="0" quotePrefix="0" xfId="0"/>
    <xf numFmtId="0" fontId="1" fillId="0" borderId="19" applyAlignment="1" pivotButton="0" quotePrefix="0" xfId="0">
      <alignment horizontal="left" indent="2"/>
    </xf>
    <xf numFmtId="0" fontId="0" fillId="0" borderId="19" pivotButton="0" quotePrefix="0" xfId="0"/>
    <xf numFmtId="0" fontId="4" fillId="16" borderId="18" pivotButton="0" quotePrefix="0" xfId="0"/>
    <xf numFmtId="0" fontId="4" fillId="15" borderId="20" pivotButton="0" quotePrefix="0" xfId="0"/>
    <xf numFmtId="0" fontId="0" fillId="18" borderId="13" pivotButton="0" quotePrefix="0" xfId="0"/>
    <xf numFmtId="0" fontId="0" fillId="18" borderId="14" pivotButton="0" quotePrefix="0" xfId="0"/>
    <xf numFmtId="0" fontId="4" fillId="18" borderId="21" pivotButton="0" quotePrefix="0" xfId="0"/>
    <xf numFmtId="0" fontId="0" fillId="15" borderId="13" pivotButton="0" quotePrefix="0" xfId="0"/>
    <xf numFmtId="0" fontId="4" fillId="15" borderId="21" pivotButton="0" quotePrefix="0" xfId="0"/>
    <xf numFmtId="0" fontId="0" fillId="15" borderId="14" pivotButton="0" quotePrefix="0" xfId="0"/>
    <xf numFmtId="0" fontId="28" fillId="0" borderId="0" pivotButton="0" quotePrefix="0" xfId="0"/>
    <xf numFmtId="0" fontId="29" fillId="0" borderId="0" pivotButton="0" quotePrefix="0" xfId="0"/>
    <xf numFmtId="0" fontId="28" fillId="0" borderId="0" applyAlignment="1" pivotButton="0" quotePrefix="0" xfId="0">
      <alignment horizontal="center"/>
    </xf>
    <xf numFmtId="0" fontId="29" fillId="0" borderId="22" pivotButton="0" quotePrefix="0" xfId="0"/>
    <xf numFmtId="168" fontId="29" fillId="0" borderId="23" applyAlignment="1" pivotButton="0" quotePrefix="0" xfId="0">
      <alignment horizontal="right"/>
    </xf>
    <xf numFmtId="0" fontId="29" fillId="0" borderId="23" applyAlignment="1" pivotButton="0" quotePrefix="0" xfId="0">
      <alignment horizontal="center"/>
    </xf>
    <xf numFmtId="169" fontId="29" fillId="0" borderId="23" applyAlignment="1" pivotButton="0" quotePrefix="0" xfId="0">
      <alignment horizontal="center"/>
    </xf>
    <xf numFmtId="0" fontId="29" fillId="0" borderId="24" applyAlignment="1" pivotButton="0" quotePrefix="0" xfId="0">
      <alignment horizontal="center"/>
    </xf>
    <xf numFmtId="0" fontId="29" fillId="0" borderId="25" pivotButton="0" quotePrefix="0" xfId="0"/>
    <xf numFmtId="168" fontId="29" fillId="0" borderId="0" applyAlignment="1" pivotButton="0" quotePrefix="0" xfId="0">
      <alignment horizontal="right"/>
    </xf>
    <xf numFmtId="0" fontId="29" fillId="0" borderId="0" applyAlignment="1" pivotButton="0" quotePrefix="0" xfId="0">
      <alignment horizontal="center"/>
    </xf>
    <xf numFmtId="169" fontId="29" fillId="0" borderId="0" applyAlignment="1" pivotButton="0" quotePrefix="0" xfId="0">
      <alignment horizontal="center"/>
    </xf>
    <xf numFmtId="0" fontId="29" fillId="0" borderId="26" applyAlignment="1" pivotButton="0" quotePrefix="0" xfId="0">
      <alignment horizontal="center"/>
    </xf>
    <xf numFmtId="0" fontId="30" fillId="0" borderId="27" applyAlignment="1" pivotButton="0" quotePrefix="0" xfId="0">
      <alignment horizontal="left" indent="1"/>
    </xf>
    <xf numFmtId="170" fontId="30" fillId="0" borderId="28" applyAlignment="1" pivotButton="0" quotePrefix="0" xfId="0">
      <alignment horizontal="right" indent="1"/>
    </xf>
    <xf numFmtId="0" fontId="30" fillId="0" borderId="28" applyAlignment="1" pivotButton="0" quotePrefix="0" xfId="0">
      <alignment horizontal="center"/>
    </xf>
    <xf numFmtId="0" fontId="30" fillId="0" borderId="29" applyAlignment="1" pivotButton="0" quotePrefix="0" xfId="0">
      <alignment horizontal="center"/>
    </xf>
    <xf numFmtId="0" fontId="31" fillId="14" borderId="23" applyAlignment="1" pivotButton="0" quotePrefix="0" xfId="0">
      <alignment horizontal="centerContinuous" vertical="center" wrapText="1"/>
    </xf>
    <xf numFmtId="0" fontId="25" fillId="14" borderId="23" applyAlignment="1" pivotButton="0" quotePrefix="0" xfId="0">
      <alignment horizontal="centerContinuous" vertical="center" wrapText="1"/>
    </xf>
    <xf numFmtId="0" fontId="25" fillId="14" borderId="23" applyAlignment="1" pivotButton="0" quotePrefix="0" xfId="0">
      <alignment horizontal="center" vertical="center"/>
    </xf>
    <xf numFmtId="0" fontId="25" fillId="14" borderId="23" applyAlignment="1" pivotButton="0" quotePrefix="0" xfId="0">
      <alignment horizontal="center" vertical="center" wrapText="1"/>
    </xf>
    <xf numFmtId="0" fontId="25" fillId="14" borderId="24" applyAlignment="1" pivotButton="0" quotePrefix="0" xfId="0">
      <alignment horizontal="center" vertical="center" wrapText="1"/>
    </xf>
    <xf numFmtId="0" fontId="29" fillId="0" borderId="0" applyAlignment="1" pivotButton="0" quotePrefix="0" xfId="0">
      <alignment horizontal="left" vertical="center" indent="2"/>
    </xf>
    <xf numFmtId="0" fontId="29" fillId="0" borderId="0" applyAlignment="1" pivotButton="0" quotePrefix="0" xfId="0">
      <alignment horizontal="center" vertical="center"/>
    </xf>
    <xf numFmtId="171" fontId="29" fillId="0" borderId="0" applyAlignment="1" pivotButton="0" quotePrefix="0" xfId="0">
      <alignment horizontal="center" vertical="center"/>
    </xf>
    <xf numFmtId="172" fontId="29" fillId="0" borderId="0" applyAlignment="1" pivotButton="0" quotePrefix="0" xfId="0">
      <alignment horizontal="center" vertical="center"/>
    </xf>
    <xf numFmtId="172" fontId="29" fillId="0" borderId="0" applyAlignment="1" pivotButton="0" quotePrefix="0" xfId="0">
      <alignment horizontal="right" vertical="center" indent="1"/>
    </xf>
    <xf numFmtId="0" fontId="28" fillId="19" borderId="23" applyAlignment="1" pivotButton="0" quotePrefix="0" xfId="0">
      <alignment horizontal="left" vertical="center" indent="1"/>
    </xf>
    <xf numFmtId="168" fontId="28" fillId="19" borderId="23" applyAlignment="1" pivotButton="0" quotePrefix="0" xfId="0">
      <alignment horizontal="center" vertical="center"/>
    </xf>
    <xf numFmtId="0" fontId="30" fillId="19" borderId="0" applyAlignment="1" pivotButton="0" quotePrefix="0" xfId="0">
      <alignment horizontal="left" vertical="center" indent="1"/>
    </xf>
    <xf numFmtId="168" fontId="30" fillId="19" borderId="0" applyAlignment="1" pivotButton="0" quotePrefix="0" xfId="0">
      <alignment horizontal="center" vertical="center"/>
    </xf>
    <xf numFmtId="168" fontId="28" fillId="0" borderId="0" applyAlignment="1" pivotButton="0" quotePrefix="0" xfId="0">
      <alignment horizontal="center" vertical="center"/>
    </xf>
    <xf numFmtId="168" fontId="28" fillId="15" borderId="23" applyAlignment="1" pivotButton="0" quotePrefix="0" xfId="0">
      <alignment horizontal="center" vertical="center"/>
    </xf>
    <xf numFmtId="168" fontId="28" fillId="15" borderId="9" applyAlignment="1" pivotButton="0" quotePrefix="0" xfId="0">
      <alignment horizontal="center" vertical="center"/>
    </xf>
    <xf numFmtId="168" fontId="28" fillId="17" borderId="23" applyAlignment="1" pivotButton="0" quotePrefix="0" xfId="0">
      <alignment horizontal="center" vertical="center"/>
    </xf>
    <xf numFmtId="168" fontId="28" fillId="17" borderId="9" applyAlignment="1" pivotButton="0" quotePrefix="0" xfId="0">
      <alignment horizontal="center" vertical="center"/>
    </xf>
    <xf numFmtId="168" fontId="29" fillId="0" borderId="0" applyAlignment="1" pivotButton="0" quotePrefix="0" xfId="0">
      <alignment horizontal="center"/>
    </xf>
    <xf numFmtId="173" fontId="29" fillId="0" borderId="0" applyAlignment="1" pivotButton="0" quotePrefix="0" xfId="0">
      <alignment horizontal="center"/>
    </xf>
    <xf numFmtId="169" fontId="29" fillId="0" borderId="0" applyAlignment="1" pivotButton="0" quotePrefix="0" xfId="0">
      <alignment horizontal="center" vertical="center"/>
    </xf>
    <xf numFmtId="173" fontId="29" fillId="0" borderId="0" applyAlignment="1" pivotButton="0" quotePrefix="0" xfId="0">
      <alignment horizontal="center" vertical="center"/>
    </xf>
    <xf numFmtId="168" fontId="28" fillId="19" borderId="23" applyAlignment="1" pivotButton="0" quotePrefix="0" xfId="0">
      <alignment horizontal="center"/>
    </xf>
    <xf numFmtId="169" fontId="28" fillId="19" borderId="23" applyAlignment="1" pivotButton="0" quotePrefix="0" xfId="0">
      <alignment horizontal="center" vertical="center"/>
    </xf>
    <xf numFmtId="173" fontId="28" fillId="19" borderId="23" applyAlignment="1" pivotButton="0" quotePrefix="0" xfId="0">
      <alignment horizontal="center" vertical="center"/>
    </xf>
    <xf numFmtId="168" fontId="30" fillId="19" borderId="0" applyAlignment="1" pivotButton="0" quotePrefix="0" xfId="0">
      <alignment horizontal="center"/>
    </xf>
    <xf numFmtId="169" fontId="30" fillId="19" borderId="0" applyAlignment="1" pivotButton="0" quotePrefix="0" xfId="0">
      <alignment horizontal="center" vertical="center"/>
    </xf>
    <xf numFmtId="173" fontId="30" fillId="19" borderId="0" applyAlignment="1" pivotButton="0" quotePrefix="0" xfId="0">
      <alignment horizontal="center" vertical="center"/>
    </xf>
    <xf numFmtId="170" fontId="29" fillId="0" borderId="0" applyAlignment="1" pivotButton="0" quotePrefix="0" xfId="0">
      <alignment horizontal="right" indent="1"/>
    </xf>
    <xf numFmtId="0" fontId="28" fillId="15" borderId="22" pivotButton="0" quotePrefix="0" xfId="0"/>
    <xf numFmtId="168" fontId="28" fillId="15" borderId="23" applyAlignment="1" pivotButton="0" quotePrefix="0" xfId="0">
      <alignment horizontal="center"/>
    </xf>
    <xf numFmtId="169" fontId="28" fillId="15" borderId="23" applyAlignment="1" pivotButton="0" quotePrefix="0" xfId="0">
      <alignment horizontal="center" vertical="center"/>
    </xf>
    <xf numFmtId="173" fontId="28" fillId="15" borderId="23" applyAlignment="1" pivotButton="0" quotePrefix="0" xfId="0">
      <alignment horizontal="center" vertical="center"/>
    </xf>
    <xf numFmtId="173" fontId="28" fillId="15" borderId="24" applyAlignment="1" pivotButton="0" quotePrefix="0" xfId="0">
      <alignment horizontal="center" vertical="center"/>
    </xf>
    <xf numFmtId="0" fontId="28" fillId="15" borderId="30" pivotButton="0" quotePrefix="0" xfId="0"/>
    <xf numFmtId="0" fontId="28" fillId="15" borderId="9" pivotButton="0" quotePrefix="0" xfId="0"/>
    <xf numFmtId="168" fontId="28" fillId="15" borderId="9" applyAlignment="1" pivotButton="0" quotePrefix="0" xfId="0">
      <alignment horizontal="center"/>
    </xf>
    <xf numFmtId="169" fontId="28" fillId="15" borderId="9" applyAlignment="1" pivotButton="0" quotePrefix="0" xfId="0">
      <alignment horizontal="center" vertical="center"/>
    </xf>
    <xf numFmtId="173" fontId="28" fillId="15" borderId="31" applyAlignment="1" pivotButton="0" quotePrefix="0" xfId="0">
      <alignment horizontal="center" vertical="center"/>
    </xf>
    <xf numFmtId="0" fontId="28" fillId="17" borderId="22" pivotButton="0" quotePrefix="0" xfId="0"/>
    <xf numFmtId="168" fontId="28" fillId="17" borderId="23" applyAlignment="1" pivotButton="0" quotePrefix="0" xfId="0">
      <alignment horizontal="center"/>
    </xf>
    <xf numFmtId="169" fontId="28" fillId="17" borderId="23" applyAlignment="1" pivotButton="0" quotePrefix="0" xfId="0">
      <alignment horizontal="center" vertical="center"/>
    </xf>
    <xf numFmtId="173" fontId="28" fillId="17" borderId="23" applyAlignment="1" pivotButton="0" quotePrefix="0" xfId="0">
      <alignment horizontal="center" vertical="center"/>
    </xf>
    <xf numFmtId="173" fontId="28" fillId="17" borderId="24" applyAlignment="1" pivotButton="0" quotePrefix="0" xfId="0">
      <alignment horizontal="center" vertical="center"/>
    </xf>
    <xf numFmtId="0" fontId="28" fillId="17" borderId="30" pivotButton="0" quotePrefix="0" xfId="0"/>
    <xf numFmtId="0" fontId="28" fillId="17" borderId="9" pivotButton="0" quotePrefix="0" xfId="0"/>
    <xf numFmtId="168" fontId="28" fillId="17" borderId="9" applyAlignment="1" pivotButton="0" quotePrefix="0" xfId="0">
      <alignment horizontal="center"/>
    </xf>
    <xf numFmtId="169" fontId="28" fillId="17" borderId="9" applyAlignment="1" pivotButton="0" quotePrefix="0" xfId="0">
      <alignment horizontal="center" vertical="center"/>
    </xf>
    <xf numFmtId="173" fontId="28" fillId="17" borderId="31" applyAlignment="1" pivotButton="0" quotePrefix="0" xfId="0">
      <alignment horizontal="center" vertical="center"/>
    </xf>
    <xf numFmtId="0" fontId="28" fillId="0" borderId="25" pivotButton="0" quotePrefix="0" xfId="0"/>
    <xf numFmtId="168" fontId="28" fillId="0" borderId="0" applyAlignment="1" pivotButton="0" quotePrefix="0" xfId="0">
      <alignment horizontal="center"/>
    </xf>
    <xf numFmtId="169" fontId="28" fillId="0" borderId="0" applyAlignment="1" pivotButton="0" quotePrefix="0" xfId="0">
      <alignment horizontal="center" vertical="center"/>
    </xf>
    <xf numFmtId="173" fontId="28" fillId="0" borderId="26" applyAlignment="1" pivotButton="0" quotePrefix="0" xfId="0">
      <alignment horizontal="center" vertical="center"/>
    </xf>
    <xf numFmtId="0" fontId="29" fillId="0" borderId="23" pivotButton="0" quotePrefix="0" xfId="0"/>
    <xf numFmtId="0" fontId="29" fillId="0" borderId="24" pivotButton="0" quotePrefix="0" xfId="0"/>
    <xf numFmtId="168" fontId="29" fillId="0" borderId="0" pivotButton="0" quotePrefix="0" xfId="0"/>
    <xf numFmtId="4" fontId="29" fillId="0" borderId="0" pivotButton="0" quotePrefix="0" xfId="0"/>
    <xf numFmtId="0" fontId="29" fillId="0" borderId="26" pivotButton="0" quotePrefix="0" xfId="0"/>
    <xf numFmtId="0" fontId="29" fillId="0" borderId="30" pivotButton="0" quotePrefix="0" xfId="0"/>
    <xf numFmtId="168" fontId="29" fillId="0" borderId="9" pivotButton="0" quotePrefix="0" xfId="0"/>
    <xf numFmtId="169" fontId="29" fillId="0" borderId="9" pivotButton="0" quotePrefix="0" xfId="0"/>
    <xf numFmtId="0" fontId="29" fillId="0" borderId="9" pivotButton="0" quotePrefix="0" xfId="0"/>
    <xf numFmtId="0" fontId="29" fillId="0" borderId="31" pivotButton="0" quotePrefix="0" xfId="0"/>
    <xf numFmtId="0" fontId="9" fillId="5" borderId="0" applyAlignment="1" pivotButton="0" quotePrefix="0" xfId="0">
      <alignment wrapText="1"/>
    </xf>
    <xf numFmtId="1" fontId="16" fillId="0" borderId="0" pivotButton="0" quotePrefix="0" xfId="0"/>
    <xf numFmtId="0" fontId="28" fillId="15" borderId="23" pivotButton="0" quotePrefix="0" xfId="0"/>
    <xf numFmtId="0" fontId="28" fillId="17" borderId="23" pivotButton="0" quotePrefix="0" xfId="0"/>
    <xf numFmtId="0" fontId="30" fillId="0" borderId="28" applyAlignment="1" pivotButton="0" quotePrefix="0" xfId="0">
      <alignment horizontal="left" indent="1"/>
    </xf>
    <xf numFmtId="0" fontId="25" fillId="14" borderId="32" applyAlignment="1" pivotButton="0" quotePrefix="0" xfId="0">
      <alignment horizontal="center" vertical="center" wrapText="1"/>
    </xf>
    <xf numFmtId="174" fontId="24" fillId="14" borderId="0" applyAlignment="1" pivotButton="0" quotePrefix="0" xfId="0">
      <alignment horizontal="centerContinuous" vertical="center"/>
    </xf>
    <xf numFmtId="0" fontId="25" fillId="14" borderId="27" applyAlignment="1" pivotButton="0" quotePrefix="0" xfId="0">
      <alignment horizontal="center" vertical="center" wrapText="1"/>
    </xf>
    <xf numFmtId="0" fontId="25" fillId="14" borderId="28" applyAlignment="1" pivotButton="0" quotePrefix="0" xfId="0">
      <alignment horizontal="center" vertical="center" wrapText="1"/>
    </xf>
    <xf numFmtId="0" fontId="25" fillId="14" borderId="29" applyAlignment="1" pivotButton="0" quotePrefix="0" xfId="0">
      <alignment horizontal="center" vertical="center" wrapText="1"/>
    </xf>
    <xf numFmtId="174" fontId="32" fillId="14" borderId="0" applyAlignment="1" pivotButton="0" quotePrefix="0" xfId="0">
      <alignment horizontal="centerContinuous" vertical="center"/>
    </xf>
    <xf numFmtId="174" fontId="31" fillId="14" borderId="0" applyAlignment="1" pivotButton="0" quotePrefix="0" xfId="0">
      <alignment horizontal="centerContinuous" vertical="center"/>
    </xf>
    <xf numFmtId="0" fontId="2" fillId="2" borderId="1" applyAlignment="1" pivotButton="0" quotePrefix="0" xfId="0">
      <alignment horizontal="center" vertical="center"/>
    </xf>
    <xf numFmtId="0" fontId="3" fillId="3" borderId="2" applyAlignment="1" pivotButton="0" quotePrefix="0" xfId="0">
      <alignment horizontal="center"/>
    </xf>
    <xf numFmtId="0" fontId="6" fillId="0" borderId="0" pivotButton="0" quotePrefix="0" xfId="0"/>
    <xf numFmtId="0" fontId="14" fillId="9" borderId="0" pivotButton="0" quotePrefix="0" xfId="0"/>
    <xf numFmtId="0" fontId="3" fillId="0" borderId="0" pivotButton="0" quotePrefix="0" xfId="0"/>
    <xf numFmtId="0" fontId="12" fillId="4" borderId="0" pivotButton="0" quotePrefix="0" xfId="0"/>
    <xf numFmtId="0" fontId="13" fillId="8" borderId="0" pivotButton="0" quotePrefix="0" xfId="0"/>
    <xf numFmtId="0" fontId="25" fillId="13" borderId="0" applyAlignment="1" pivotButton="0" quotePrefix="0" xfId="0">
      <alignment wrapText="1"/>
    </xf>
    <xf numFmtId="0" fontId="35" fillId="0" borderId="0" pivotButton="0" quotePrefix="0" xfId="0"/>
    <xf numFmtId="174" fontId="31" fillId="14" borderId="0" applyAlignment="1" pivotButton="0" quotePrefix="0" xfId="0">
      <alignment horizontal="centerContinuous" vertical="center"/>
    </xf>
    <xf numFmtId="174" fontId="32" fillId="14" borderId="0" applyAlignment="1" pivotButton="0" quotePrefix="0" xfId="0">
      <alignment horizontal="centerContinuous" vertical="center"/>
    </xf>
    <xf numFmtId="174" fontId="24" fillId="14" borderId="0" applyAlignment="1" pivotButton="0" quotePrefix="0" xfId="0">
      <alignment horizontal="centerContinuous" vertical="center"/>
    </xf>
    <xf numFmtId="175" fontId="0" fillId="0" borderId="0" pivotButton="0" quotePrefix="0" xfId="0"/>
    <xf numFmtId="173" fontId="29" fillId="0" borderId="0" applyAlignment="1" pivotButton="0" quotePrefix="0" xfId="0">
      <alignment horizontal="center"/>
    </xf>
    <xf numFmtId="171" fontId="29" fillId="0" borderId="0" applyAlignment="1" pivotButton="0" quotePrefix="0" xfId="0">
      <alignment horizontal="center" vertical="center"/>
    </xf>
    <xf numFmtId="172" fontId="29" fillId="0" borderId="0" applyAlignment="1" pivotButton="0" quotePrefix="0" xfId="0">
      <alignment horizontal="center" vertical="center"/>
    </xf>
    <xf numFmtId="172" fontId="29" fillId="0" borderId="0" applyAlignment="1" pivotButton="0" quotePrefix="0" xfId="0">
      <alignment horizontal="right" vertical="center" indent="1"/>
    </xf>
    <xf numFmtId="173" fontId="29" fillId="0" borderId="0" applyAlignment="1" pivotButton="0" quotePrefix="0" xfId="0">
      <alignment horizontal="center" vertical="center"/>
    </xf>
    <xf numFmtId="166" fontId="0" fillId="0" borderId="0" pivotButton="0" quotePrefix="0" xfId="0"/>
    <xf numFmtId="173" fontId="28" fillId="19" borderId="23" applyAlignment="1" pivotButton="0" quotePrefix="0" xfId="0">
      <alignment horizontal="center" vertical="center"/>
    </xf>
    <xf numFmtId="173" fontId="30" fillId="19" borderId="0" applyAlignment="1" pivotButton="0" quotePrefix="0" xfId="0">
      <alignment horizontal="center" vertical="center"/>
    </xf>
    <xf numFmtId="176" fontId="0" fillId="0" borderId="0" pivotButton="0" quotePrefix="0" xfId="0"/>
    <xf numFmtId="173" fontId="28" fillId="15" borderId="23" applyAlignment="1" pivotButton="0" quotePrefix="0" xfId="0">
      <alignment horizontal="center" vertical="center"/>
    </xf>
    <xf numFmtId="173" fontId="28" fillId="15" borderId="24" applyAlignment="1" pivotButton="0" quotePrefix="0" xfId="0">
      <alignment horizontal="center" vertical="center"/>
    </xf>
    <xf numFmtId="173" fontId="28" fillId="15" borderId="31" applyAlignment="1" pivotButton="0" quotePrefix="0" xfId="0">
      <alignment horizontal="center" vertical="center"/>
    </xf>
    <xf numFmtId="3" fontId="34" fillId="20" borderId="0" pivotButton="0" quotePrefix="0" xfId="0"/>
    <xf numFmtId="173" fontId="28" fillId="17" borderId="23" applyAlignment="1" pivotButton="0" quotePrefix="0" xfId="0">
      <alignment horizontal="center" vertical="center"/>
    </xf>
    <xf numFmtId="173" fontId="28" fillId="17" borderId="24" applyAlignment="1" pivotButton="0" quotePrefix="0" xfId="0">
      <alignment horizontal="center" vertical="center"/>
    </xf>
    <xf numFmtId="173" fontId="28" fillId="17" borderId="31" applyAlignment="1" pivotButton="0" quotePrefix="0" xfId="0">
      <alignment horizontal="center" vertical="center"/>
    </xf>
    <xf numFmtId="173" fontId="28" fillId="0" borderId="26" applyAlignment="1" pivotButton="0" quotePrefix="0" xfId="0">
      <alignment horizontal="center" vertical="center"/>
    </xf>
    <xf numFmtId="1" fontId="0" fillId="0" borderId="0" pivotButton="0" quotePrefix="0" xfId="0"/>
    <xf numFmtId="2" fontId="17" fillId="4" borderId="0" pivotButton="0" quotePrefix="0" xfId="0"/>
    <xf numFmtId="1" fontId="16" fillId="10" borderId="0" pivotButton="0" quotePrefix="0" xfId="0"/>
    <xf numFmtId="2" fontId="16" fillId="10" borderId="0" pivotButton="0" quotePrefix="0" xfId="0"/>
    <xf numFmtId="2" fontId="0" fillId="0" borderId="0" pivotButton="0" quotePrefix="0" xfId="0"/>
    <xf numFmtId="2" fontId="33" fillId="6" borderId="0" pivotButton="0" quotePrefix="0" xfId="0"/>
    <xf numFmtId="166" fontId="33" fillId="6" borderId="0" pivotButton="0" quotePrefix="0" xfId="0"/>
    <xf numFmtId="166" fontId="34" fillId="20" borderId="0" pivotButton="0" quotePrefix="0" xfId="0"/>
    <xf numFmtId="2" fontId="16" fillId="0" borderId="0" pivotButton="0" quotePrefix="0" xfId="0"/>
    <xf numFmtId="3" fontId="19" fillId="0" borderId="0" pivotButton="0" quotePrefix="0" xfId="0"/>
    <xf numFmtId="2" fontId="19" fillId="4" borderId="0" pivotButton="0" quotePrefix="0" xfId="0"/>
    <xf numFmtId="2" fontId="18" fillId="0" borderId="0" pivotButton="0" quotePrefix="0" xfId="0"/>
    <xf numFmtId="2" fontId="16" fillId="11" borderId="0" pivotButton="0" quotePrefix="0" xfId="0"/>
    <xf numFmtId="177" fontId="16" fillId="0" borderId="0" pivotButton="0" quotePrefix="0" xfId="0"/>
    <xf numFmtId="177" fontId="0" fillId="0" borderId="0" pivotButton="0" quotePrefix="0" xfId="0"/>
    <xf numFmtId="2" fontId="23" fillId="0" borderId="0" pivotButton="0" quotePrefix="0" xfId="0"/>
    <xf numFmtId="2" fontId="16" fillId="7" borderId="0" pivotButton="0" quotePrefix="0" xfId="0"/>
    <xf numFmtId="2" fontId="16" fillId="12" borderId="0" pivotButton="0" quotePrefix="0" xfId="0"/>
    <xf numFmtId="0" fontId="35" fillId="13" borderId="0" applyAlignment="1" pivotButton="0" quotePrefix="0" xfId="0">
      <alignment wrapText="1"/>
    </xf>
    <xf numFmtId="0" fontId="35" fillId="21" borderId="0" pivotButton="0" quotePrefix="0" xfId="0"/>
    <xf numFmtId="0" fontId="33" fillId="0" borderId="0" pivotButton="0" quotePrefix="0" xfId="0"/>
    <xf numFmtId="0" fontId="36"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8E6C9"/>
      <rgbColor rgb="FF808080"/>
      <rgbColor rgb="FF9999FF"/>
      <rgbColor rgb="FF993366"/>
      <rgbColor rgb="FFFFF2CC"/>
      <rgbColor rgb="FFE8F5E9"/>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2EFDA"/>
      <rgbColor rgb="FFC6EFCE"/>
      <rgbColor rgb="FFFFEB9C"/>
      <rgbColor rgb="FF99CCFF"/>
      <rgbColor rgb="FFFCE4D6"/>
      <rgbColor rgb="FFCC99FF"/>
      <rgbColor rgb="FFFFC7CE"/>
      <rgbColor rgb="FF3366FF"/>
      <rgbColor rgb="FF33CCCC"/>
      <rgbColor rgb="FF99CC00"/>
      <rgbColor rgb="FFFFCC00"/>
      <rgbColor rgb="FFFF9900"/>
      <rgbColor rgb="FFFF6600"/>
      <rgbColor rgb="FF595959"/>
      <rgbColor rgb="FF969696"/>
      <rgbColor rgb="FF1F3864"/>
      <rgbColor rgb="FF2E7D32"/>
      <rgbColor rgb="FF003300"/>
      <rgbColor rgb="FF333300"/>
      <rgbColor rgb="FF993300"/>
      <rgbColor rgb="FF993366"/>
      <rgbColor rgb="FF333399"/>
      <rgbColor rgb="FF1B5E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condos.ca/toronto/the-humber-10-wilby-crescent-10-wilby-cres/unit-2006-W12057837" TargetMode="External" Id="rId1" /></Relationships>
</file>

<file path=xl/worksheets/sheet1.xml><?xml version="1.0" encoding="utf-8"?>
<worksheet xmlns="http://schemas.openxmlformats.org/spreadsheetml/2006/main">
  <sheetPr>
    <outlinePr summaryBelow="1" summaryRight="1"/>
    <pageSetUpPr/>
  </sheetPr>
  <dimension ref="B2:AE60"/>
  <sheetViews>
    <sheetView showGridLines="0" zoomScale="85" zoomScaleNormal="85" workbookViewId="0">
      <selection activeCell="A9" sqref="A9"/>
    </sheetView>
  </sheetViews>
  <sheetFormatPr baseColWidth="8" defaultColWidth="8.85546875" defaultRowHeight="12.75"/>
  <cols>
    <col width="2.7109375" customWidth="1" min="1" max="1"/>
    <col width="33.28515625" customWidth="1" min="2" max="2"/>
    <col width="10.7109375" customWidth="1" min="3" max="9"/>
    <col width="2.7109375" customWidth="1" min="10" max="10"/>
    <col width="33.28515625" customWidth="1" min="11" max="11"/>
    <col width="11.7109375" customWidth="1" min="12" max="31"/>
  </cols>
  <sheetData>
    <row r="2" ht="14.25" customHeight="1">
      <c r="B2" s="65" t="n"/>
      <c r="C2" s="65" t="n"/>
      <c r="D2" s="65" t="n"/>
      <c r="E2" s="65" t="n"/>
      <c r="F2" s="65" t="n"/>
      <c r="G2" s="69" t="inlineStr">
        <is>
          <t>Unit Mix Adjusted1</t>
        </is>
      </c>
      <c r="H2" s="70" t="n"/>
      <c r="I2" s="70" t="n"/>
    </row>
    <row r="3" ht="38.25" customHeight="1">
      <c r="B3" s="67" t="inlineStr">
        <is>
          <t>Building</t>
        </is>
      </c>
      <c r="C3" s="66" t="inlineStr">
        <is>
          <t>First Occupancy</t>
        </is>
      </c>
      <c r="D3" s="66" t="inlineStr">
        <is>
          <t>Avg.Lease Date</t>
        </is>
      </c>
      <c r="E3" s="66" t="inlineStr">
        <is>
          <t>Vacancy</t>
        </is>
      </c>
      <c r="F3" s="66" t="inlineStr">
        <is>
          <t>Transaction Count</t>
        </is>
      </c>
      <c r="G3" s="66" t="inlineStr">
        <is>
          <t>Avg Suite Size</t>
        </is>
      </c>
      <c r="H3" s="66" t="inlineStr">
        <is>
          <t>Adj. Avg. Rent</t>
        </is>
      </c>
      <c r="I3" s="66" t="inlineStr">
        <is>
          <t>Avg. Net Rent PSF</t>
        </is>
      </c>
    </row>
    <row r="4" ht="5.1" customHeight="1"/>
    <row r="5">
      <c r="B5" s="78" t="inlineStr">
        <is>
          <t>Lawrence &amp; Jane St</t>
        </is>
      </c>
      <c r="C5" s="73" t="n"/>
      <c r="D5" s="73" t="n"/>
      <c r="E5" s="73" t="n"/>
      <c r="F5" s="73" t="n"/>
      <c r="G5" s="73" t="n"/>
      <c r="H5" s="73" t="n"/>
      <c r="I5" s="74" t="n"/>
      <c r="R5" s="68" t="n"/>
    </row>
    <row r="6">
      <c r="B6" s="79" t="inlineStr">
        <is>
          <t>The Humber</t>
        </is>
      </c>
      <c r="I6" s="75" t="n"/>
    </row>
    <row r="7" ht="5.1" customHeight="1">
      <c r="B7" s="80" t="n"/>
      <c r="I7" s="75" t="n"/>
    </row>
    <row r="8">
      <c r="B8" s="81" t="inlineStr">
        <is>
          <t>Average</t>
        </is>
      </c>
      <c r="C8" s="71" t="n"/>
      <c r="D8" s="71" t="n"/>
      <c r="E8" s="71" t="n"/>
      <c r="F8" s="71" t="n"/>
      <c r="G8" s="71" t="n"/>
      <c r="H8" s="71" t="n"/>
      <c r="I8" s="76" t="n"/>
    </row>
    <row r="9">
      <c r="B9" s="79" t="inlineStr">
        <is>
          <t>PBR Premium</t>
        </is>
      </c>
      <c r="I9" s="75" t="n"/>
    </row>
    <row r="10">
      <c r="B10" s="82" t="inlineStr">
        <is>
          <t>Implied Untrended Rent</t>
        </is>
      </c>
      <c r="C10" s="72" t="n"/>
      <c r="D10" s="72" t="n"/>
      <c r="E10" s="72" t="n"/>
      <c r="F10" s="72" t="n"/>
      <c r="G10" s="72" t="n"/>
      <c r="H10" s="72" t="n"/>
      <c r="I10" s="77" t="n"/>
    </row>
    <row r="11" ht="5.1" customHeight="1"/>
    <row r="12">
      <c r="B12" s="85" t="inlineStr">
        <is>
          <t>Subject Site (Untrended Rent)</t>
        </is>
      </c>
      <c r="C12" s="83" t="n"/>
      <c r="D12" s="83" t="n"/>
      <c r="E12" s="83" t="n"/>
      <c r="F12" s="83" t="n"/>
      <c r="G12" s="83" t="n"/>
      <c r="H12" s="83" t="n"/>
      <c r="I12" s="84" t="n"/>
    </row>
    <row r="14" ht="5.1" customHeight="1"/>
    <row r="15">
      <c r="B15" s="78" t="inlineStr">
        <is>
          <t>Other Excluded</t>
        </is>
      </c>
      <c r="C15" s="73" t="n"/>
      <c r="D15" s="73" t="n"/>
      <c r="E15" s="73" t="n"/>
      <c r="F15" s="73" t="n"/>
      <c r="G15" s="73" t="n"/>
      <c r="H15" s="73" t="n"/>
      <c r="I15" s="74" t="n"/>
    </row>
    <row r="16">
      <c r="B16" s="80" t="n"/>
      <c r="I16" s="75" t="n"/>
    </row>
    <row r="17">
      <c r="B17" s="80" t="n"/>
      <c r="I17" s="75" t="n"/>
    </row>
    <row r="18" ht="5.1" customHeight="1">
      <c r="B18" s="80" t="n"/>
      <c r="I18" s="75" t="n"/>
    </row>
    <row r="19">
      <c r="B19" s="81" t="inlineStr">
        <is>
          <t>Average</t>
        </is>
      </c>
      <c r="C19" s="71" t="n"/>
      <c r="D19" s="71" t="n"/>
      <c r="E19" s="71" t="n"/>
      <c r="F19" s="71" t="n"/>
      <c r="G19" s="71" t="n"/>
      <c r="H19" s="71" t="n"/>
      <c r="I19" s="76" t="n"/>
    </row>
    <row r="20">
      <c r="B20" s="79" t="inlineStr">
        <is>
          <t>PBR Premium</t>
        </is>
      </c>
      <c r="I20" s="75" t="n"/>
    </row>
    <row r="21">
      <c r="B21" s="82" t="inlineStr">
        <is>
          <t>Implied Untrended Rent</t>
        </is>
      </c>
      <c r="C21" s="72" t="n"/>
      <c r="D21" s="72" t="n"/>
      <c r="E21" s="72" t="n"/>
      <c r="F21" s="72" t="n"/>
      <c r="G21" s="72" t="n"/>
      <c r="H21" s="72" t="n"/>
      <c r="I21" s="77" t="n"/>
    </row>
    <row r="23">
      <c r="B23" s="81" t="inlineStr">
        <is>
          <t>Weighted Average</t>
        </is>
      </c>
      <c r="C23" s="71" t="n"/>
      <c r="D23" s="71" t="n"/>
      <c r="E23" s="71" t="n"/>
      <c r="F23" s="71" t="n"/>
      <c r="G23" s="71" t="n"/>
      <c r="H23" s="71" t="n"/>
      <c r="I23" s="76" t="n"/>
    </row>
    <row r="24">
      <c r="B24" s="79" t="inlineStr">
        <is>
          <t>PBR Premium</t>
        </is>
      </c>
      <c r="I24" s="75" t="n"/>
    </row>
    <row r="25">
      <c r="B25" s="87" t="inlineStr">
        <is>
          <t>Implied Untrended Rent</t>
        </is>
      </c>
      <c r="C25" s="86" t="n"/>
      <c r="D25" s="86" t="n"/>
      <c r="E25" s="86" t="n"/>
      <c r="F25" s="86" t="n"/>
      <c r="G25" s="86" t="n"/>
      <c r="H25" s="86" t="n"/>
      <c r="I25" s="88" t="n"/>
    </row>
    <row r="27" ht="15" customHeight="1">
      <c r="B27" s="190" t="inlineStr">
        <is>
          <t>★ RECOMMENDATION — RECOMMENDED SUBJECT RENT</t>
        </is>
      </c>
      <c r="K27" s="90" t="n"/>
      <c r="L27" s="191" t="inlineStr">
        <is>
          <t>Studio Units</t>
        </is>
      </c>
      <c r="M27" s="192" t="n"/>
      <c r="N27" s="193" t="n"/>
      <c r="O27" s="193" t="n"/>
      <c r="P27" s="106" t="inlineStr">
        <is>
          <t>1-Bedroom Units</t>
        </is>
      </c>
      <c r="Q27" s="106" t="n"/>
      <c r="R27" s="107" t="n"/>
      <c r="S27" s="107" t="n"/>
      <c r="T27" s="106" t="inlineStr">
        <is>
          <t>1-Bedroom + Den Units</t>
        </is>
      </c>
      <c r="U27" s="106" t="n"/>
      <c r="V27" s="107" t="n"/>
      <c r="W27" s="107" t="n"/>
      <c r="X27" s="106" t="inlineStr">
        <is>
          <t>2-Bedroom Units</t>
        </is>
      </c>
      <c r="Y27" s="106" t="n"/>
      <c r="Z27" s="107" t="n"/>
      <c r="AA27" s="107" t="n"/>
      <c r="AB27" s="106" t="inlineStr">
        <is>
          <t>3-Bedroom Units</t>
        </is>
      </c>
      <c r="AC27" s="106" t="n"/>
      <c r="AD27" s="107" t="n"/>
      <c r="AE27" s="107" t="n"/>
    </row>
    <row r="28" ht="25.5" customHeight="1">
      <c r="B28" t="inlineStr">
        <is>
          <t>Recommended subject $/SF</t>
        </is>
      </c>
      <c r="D28" s="194">
        <f>Data_Summary!$C$25</f>
        <v/>
      </c>
      <c r="K28" s="108" t="inlineStr">
        <is>
          <t>Building</t>
        </is>
      </c>
      <c r="L28" s="177" t="inlineStr">
        <is>
          <t>Transaction
Count</t>
        </is>
      </c>
      <c r="M28" s="178" t="inlineStr">
        <is>
          <t>Avg. Suite
Size</t>
        </is>
      </c>
      <c r="N28" s="178" t="inlineStr">
        <is>
          <t>Adj. Avg.
Rent</t>
        </is>
      </c>
      <c r="O28" s="179" t="inlineStr">
        <is>
          <t>Avg. Net
Rent PSF</t>
        </is>
      </c>
      <c r="P28" s="175" t="inlineStr">
        <is>
          <t>Transaction
Count</t>
        </is>
      </c>
      <c r="Q28" s="109" t="inlineStr">
        <is>
          <t>Avg. Suite
Size</t>
        </is>
      </c>
      <c r="R28" s="109" t="inlineStr">
        <is>
          <t>Adj. Avg.
Rent</t>
        </is>
      </c>
      <c r="S28" s="110" t="inlineStr">
        <is>
          <t>Avg. Net
Rent PSF</t>
        </is>
      </c>
      <c r="T28" s="109" t="inlineStr">
        <is>
          <t>Transaction
Count</t>
        </is>
      </c>
      <c r="U28" s="109" t="inlineStr">
        <is>
          <t>Avg. Suite
Size</t>
        </is>
      </c>
      <c r="V28" s="109" t="inlineStr">
        <is>
          <t>Adj. Avg.
Rent</t>
        </is>
      </c>
      <c r="W28" s="110" t="inlineStr">
        <is>
          <t>Avg. Net
Rent PSF</t>
        </is>
      </c>
      <c r="X28" s="109" t="inlineStr">
        <is>
          <t>Transaction
Count</t>
        </is>
      </c>
      <c r="Y28" s="109" t="inlineStr">
        <is>
          <t>Avg. Suite
Size</t>
        </is>
      </c>
      <c r="Z28" s="109" t="inlineStr">
        <is>
          <t>Adj. Avg.
Rent</t>
        </is>
      </c>
      <c r="AA28" s="110" t="inlineStr">
        <is>
          <t>Avg. Net
Rent PSF</t>
        </is>
      </c>
      <c r="AB28" s="109" t="inlineStr">
        <is>
          <t>Transaction
Count</t>
        </is>
      </c>
      <c r="AC28" s="109" t="inlineStr">
        <is>
          <t>Avg. Suite
Size</t>
        </is>
      </c>
      <c r="AD28" s="109" t="inlineStr">
        <is>
          <t>Adj. Avg.
Rent</t>
        </is>
      </c>
      <c r="AE28" s="110" t="inlineStr">
        <is>
          <t>Avg. Net
Rent PSF</t>
        </is>
      </c>
    </row>
    <row r="29">
      <c r="B29" t="inlineStr">
        <is>
          <t>Conservative (all-comp + premium) $/SF</t>
        </is>
      </c>
      <c r="D29" s="194">
        <f>Data_Summary!$C$26</f>
        <v/>
      </c>
      <c r="K29" s="90" t="inlineStr">
        <is>
          <t>The Humber</t>
        </is>
      </c>
      <c r="L29" s="90" t="n"/>
      <c r="M29" s="90" t="n"/>
      <c r="N29" s="90" t="n"/>
      <c r="O29" s="90" t="n"/>
      <c r="P29" s="125" t="n"/>
      <c r="Q29" s="125" t="n"/>
      <c r="R29" s="100" t="n"/>
      <c r="S29" s="195" t="n"/>
      <c r="T29" s="125" t="n"/>
      <c r="U29" s="125" t="n"/>
      <c r="V29" s="100" t="n"/>
      <c r="W29" s="195" t="n"/>
      <c r="X29" s="125" t="n"/>
      <c r="Y29" s="125" t="n"/>
      <c r="Z29" s="100" t="n"/>
      <c r="AA29" s="195" t="n"/>
      <c r="AB29" s="125" t="n"/>
      <c r="AC29" s="125" t="n"/>
      <c r="AD29" s="100" t="n"/>
      <c r="AE29" s="195" t="n"/>
    </row>
    <row r="30">
      <c r="B30" t="inlineStr">
        <is>
          <t>Raw comp $/SF (Humber, no premium)</t>
        </is>
      </c>
      <c r="D30" s="194">
        <f>Data_Summary!$C$22</f>
        <v/>
      </c>
      <c r="K30" s="111" t="n"/>
      <c r="L30" s="111" t="n"/>
      <c r="M30" s="111" t="n"/>
      <c r="N30" s="111" t="n"/>
      <c r="O30" s="111" t="n"/>
      <c r="P30" s="112" t="n"/>
      <c r="Q30" s="196" t="n"/>
      <c r="R30" s="197" t="n"/>
      <c r="S30" s="198" t="n"/>
      <c r="T30" s="198" t="n"/>
      <c r="U30" s="198" t="n"/>
      <c r="V30" s="198" t="n"/>
      <c r="W30" s="198" t="n"/>
      <c r="X30" s="198" t="n"/>
      <c r="Y30" s="197" t="n"/>
      <c r="Z30" s="197" t="n"/>
      <c r="AA30" s="127" t="n"/>
      <c r="AB30" s="127" t="n"/>
      <c r="AC30" s="199" t="n"/>
      <c r="AD30" s="197" t="n"/>
      <c r="AE30" s="127" t="n"/>
    </row>
    <row r="31">
      <c r="B31" t="inlineStr">
        <is>
          <t>Plus — new-build / lease-up premium</t>
        </is>
      </c>
      <c r="D31" s="200">
        <f>Data_Summary!$C$4</f>
        <v/>
      </c>
      <c r="K31" s="116" t="inlineStr">
        <is>
          <t>Weighted Avg.</t>
        </is>
      </c>
      <c r="L31" s="116" t="n"/>
      <c r="M31" s="116" t="n"/>
      <c r="N31" s="116" t="n"/>
      <c r="O31" s="116" t="n"/>
      <c r="P31" s="117" t="n"/>
      <c r="Q31" s="129" t="n"/>
      <c r="R31" s="130" t="n"/>
      <c r="S31" s="201" t="n"/>
      <c r="T31" s="117" t="n"/>
      <c r="U31" s="129" t="n"/>
      <c r="V31" s="130" t="n"/>
      <c r="W31" s="201" t="n"/>
      <c r="X31" s="117" t="n"/>
      <c r="Y31" s="129" t="n"/>
      <c r="Z31" s="130" t="n"/>
      <c r="AA31" s="201" t="n"/>
      <c r="AB31" s="117" t="n"/>
      <c r="AC31" s="129" t="n"/>
      <c r="AD31" s="130" t="n"/>
      <c r="AE31" s="201" t="n"/>
    </row>
    <row r="32">
      <c r="K32" s="118" t="inlineStr">
        <is>
          <t>Low</t>
        </is>
      </c>
      <c r="L32" s="118" t="n"/>
      <c r="M32" s="118" t="n"/>
      <c r="N32" s="118" t="n"/>
      <c r="O32" s="118" t="n"/>
      <c r="P32" s="119" t="n"/>
      <c r="Q32" s="132" t="n"/>
      <c r="R32" s="133" t="n"/>
      <c r="S32" s="202" t="n"/>
      <c r="T32" s="119" t="n"/>
      <c r="U32" s="132" t="n"/>
      <c r="V32" s="133" t="n"/>
      <c r="W32" s="202" t="n"/>
      <c r="X32" s="119" t="n"/>
      <c r="Y32" s="132" t="n"/>
      <c r="Z32" s="133" t="n"/>
      <c r="AA32" s="202" t="n"/>
      <c r="AB32" s="119" t="n"/>
      <c r="AC32" s="132" t="n"/>
      <c r="AD32" s="133" t="n"/>
      <c r="AE32" s="202" t="n"/>
    </row>
    <row r="33">
      <c r="B33" s="190" t="inlineStr">
        <is>
          <t>Recommended monthly rent by suite type</t>
        </is>
      </c>
      <c r="K33" s="118" t="inlineStr">
        <is>
          <t>High</t>
        </is>
      </c>
      <c r="L33" s="118" t="n"/>
      <c r="M33" s="118" t="n"/>
      <c r="N33" s="118" t="n"/>
      <c r="O33" s="118" t="n"/>
      <c r="P33" s="119" t="n"/>
      <c r="Q33" s="132" t="n"/>
      <c r="R33" s="133" t="n"/>
      <c r="S33" s="202" t="n"/>
      <c r="T33" s="119" t="n"/>
      <c r="U33" s="132" t="n"/>
      <c r="V33" s="133" t="n"/>
      <c r="W33" s="202" t="n"/>
      <c r="X33" s="119" t="n"/>
      <c r="Y33" s="132" t="n"/>
      <c r="Z33" s="133" t="n"/>
      <c r="AA33" s="202" t="n"/>
      <c r="AB33" s="119" t="n"/>
      <c r="AC33" s="132" t="n"/>
      <c r="AD33" s="133" t="n"/>
      <c r="AE33" s="202" t="n"/>
    </row>
    <row r="34">
      <c r="B34" t="inlineStr">
        <is>
          <t>Suite</t>
        </is>
      </c>
      <c r="C34" t="inlineStr">
        <is>
          <t>Avg SF</t>
        </is>
      </c>
      <c r="D34" t="inlineStr">
        <is>
          <t>Rec. Rent</t>
        </is>
      </c>
      <c r="K34" s="90" t="n"/>
      <c r="L34" s="90" t="n"/>
      <c r="M34" s="90" t="n"/>
      <c r="N34" s="90" t="n"/>
      <c r="O34" s="90" t="n"/>
      <c r="P34" s="90" t="n"/>
      <c r="Q34" s="90" t="n"/>
      <c r="R34" s="90" t="n"/>
      <c r="S34" s="90" t="n"/>
      <c r="T34" s="90" t="n"/>
      <c r="U34" s="90" t="n"/>
      <c r="V34" s="90" t="n"/>
      <c r="W34" s="90" t="n"/>
      <c r="X34" s="90" t="n"/>
      <c r="Y34" s="90" t="n"/>
      <c r="Z34" s="90" t="n"/>
      <c r="AA34" s="90" t="n"/>
      <c r="AB34" s="90" t="n"/>
      <c r="AC34" s="90" t="n"/>
      <c r="AD34" s="90" t="n"/>
      <c r="AE34" s="90" t="n"/>
    </row>
    <row r="35">
      <c r="B35" t="inlineStr">
        <is>
          <t>1-Bed</t>
        </is>
      </c>
      <c r="C35" s="26">
        <f>Data_Summary!C17</f>
        <v/>
      </c>
      <c r="D35" s="203">
        <f>Data_Summary!F17</f>
        <v/>
      </c>
      <c r="K35" s="90" t="inlineStr">
        <is>
          <t>PBR Premium</t>
        </is>
      </c>
      <c r="L35" s="90" t="n"/>
      <c r="M35" s="90" t="n"/>
      <c r="N35" s="90" t="n"/>
      <c r="O35" s="90" t="n"/>
      <c r="P35" s="90" t="n"/>
      <c r="Q35" s="90" t="n"/>
      <c r="R35" s="135" t="n"/>
      <c r="S35" s="135" t="n"/>
      <c r="T35" s="135" t="n"/>
      <c r="U35" s="135" t="n"/>
      <c r="V35" s="135" t="n"/>
      <c r="W35" s="135" t="n"/>
      <c r="X35" s="90" t="n"/>
      <c r="Y35" s="90" t="n"/>
      <c r="Z35" s="135" t="n"/>
      <c r="AA35" s="135" t="n"/>
      <c r="AB35" s="90" t="n"/>
      <c r="AC35" s="90" t="n"/>
      <c r="AD35" s="135" t="n"/>
      <c r="AE35" s="135" t="n"/>
    </row>
    <row r="36">
      <c r="B36" t="inlineStr">
        <is>
          <t>2-Bed</t>
        </is>
      </c>
      <c r="C36" s="26">
        <f>Data_Summary!C18</f>
        <v/>
      </c>
      <c r="D36" s="203">
        <f>Data_Summary!F18</f>
        <v/>
      </c>
      <c r="K36" s="136" t="inlineStr">
        <is>
          <t>Weighted Avg.</t>
        </is>
      </c>
      <c r="L36" s="172" t="n"/>
      <c r="M36" s="172" t="n"/>
      <c r="N36" s="172" t="n"/>
      <c r="O36" s="172" t="n"/>
      <c r="P36" s="121" t="n"/>
      <c r="Q36" s="137" t="n"/>
      <c r="R36" s="138" t="n"/>
      <c r="S36" s="204" t="n"/>
      <c r="T36" s="121" t="n"/>
      <c r="U36" s="137" t="n"/>
      <c r="V36" s="138" t="n"/>
      <c r="W36" s="204" t="n"/>
      <c r="X36" s="121" t="n"/>
      <c r="Y36" s="137" t="n"/>
      <c r="Z36" s="138" t="n"/>
      <c r="AA36" s="204" t="n"/>
      <c r="AB36" s="121" t="n"/>
      <c r="AC36" s="137" t="n"/>
      <c r="AD36" s="138" t="n"/>
      <c r="AE36" s="205" t="n"/>
    </row>
    <row r="37">
      <c r="B37" t="inlineStr">
        <is>
          <t>3-Bed</t>
        </is>
      </c>
      <c r="C37" s="26">
        <f>Data_Summary!C19</f>
        <v/>
      </c>
      <c r="D37" s="203">
        <f>Data_Summary!F19</f>
        <v/>
      </c>
      <c r="K37" s="141" t="inlineStr">
        <is>
          <t>Weighted Avg. Building Total (Comps)</t>
        </is>
      </c>
      <c r="L37" s="142" t="n"/>
      <c r="M37" s="142" t="n"/>
      <c r="N37" s="142" t="n"/>
      <c r="O37" s="142" t="n"/>
      <c r="P37" s="142" t="n"/>
      <c r="Q37" s="142" t="n"/>
      <c r="R37" s="142" t="n"/>
      <c r="S37" s="142" t="n"/>
      <c r="T37" s="142" t="n"/>
      <c r="U37" s="142" t="n"/>
      <c r="V37" s="142" t="n"/>
      <c r="W37" s="142" t="n"/>
      <c r="X37" s="142" t="n"/>
      <c r="Y37" s="142" t="n"/>
      <c r="Z37" s="142" t="n"/>
      <c r="AA37" s="142" t="n"/>
      <c r="AB37" s="122" t="n"/>
      <c r="AC37" s="143" t="n"/>
      <c r="AD37" s="144" t="n"/>
      <c r="AE37" s="206" t="n"/>
    </row>
    <row r="38">
      <c r="K38" s="90" t="n"/>
      <c r="L38" s="90" t="n"/>
      <c r="M38" s="90" t="n"/>
      <c r="N38" s="90" t="n"/>
      <c r="O38" s="90" t="n"/>
      <c r="P38" s="90" t="n"/>
      <c r="Q38" s="90" t="n"/>
      <c r="R38" s="90" t="n"/>
      <c r="S38" s="90" t="n"/>
      <c r="T38" s="90" t="n"/>
      <c r="U38" s="90" t="n"/>
      <c r="V38" s="90" t="n"/>
      <c r="W38" s="90" t="n"/>
      <c r="X38" s="90" t="n"/>
      <c r="Y38" s="90" t="n"/>
      <c r="Z38" s="90" t="n"/>
      <c r="AA38" s="90" t="n"/>
      <c r="AB38" s="90" t="n"/>
      <c r="AC38" s="90" t="n"/>
      <c r="AD38" s="90" t="n"/>
      <c r="AE38" s="90" t="n"/>
    </row>
    <row r="39">
      <c r="B39" t="inlineStr">
        <is>
          <t>Custom suite — enter size (sq ft) →</t>
        </is>
      </c>
      <c r="D39" s="207" t="n">
        <v>700</v>
      </c>
      <c r="K39" s="146" t="inlineStr">
        <is>
          <t>Subject Property (Using Comp $ Rent)</t>
        </is>
      </c>
      <c r="L39" s="173" t="n"/>
      <c r="M39" s="173" t="n"/>
      <c r="N39" s="173" t="n"/>
      <c r="O39" s="173" t="n"/>
      <c r="P39" s="123" t="n"/>
      <c r="Q39" s="147" t="n"/>
      <c r="R39" s="148" t="n"/>
      <c r="S39" s="208" t="n"/>
      <c r="T39" s="123" t="n"/>
      <c r="U39" s="147" t="n"/>
      <c r="V39" s="148" t="n"/>
      <c r="W39" s="208" t="n"/>
      <c r="X39" s="123" t="n"/>
      <c r="Y39" s="147" t="n"/>
      <c r="Z39" s="148" t="n"/>
      <c r="AA39" s="208" t="n"/>
      <c r="AB39" s="123" t="n"/>
      <c r="AC39" s="147" t="n"/>
      <c r="AD39" s="148" t="n"/>
      <c r="AE39" s="209" t="n"/>
    </row>
    <row r="40">
      <c r="B40" t="inlineStr">
        <is>
          <t>Implied rent @ recommended subject $/SF</t>
        </is>
      </c>
      <c r="D40" s="203">
        <f>IFERROR(D39*Data_Summary!$C$25,"")</f>
        <v/>
      </c>
      <c r="K40" s="151" t="inlineStr">
        <is>
          <t>Subject Property Rent Building Total</t>
        </is>
      </c>
      <c r="L40" s="152" t="n"/>
      <c r="M40" s="152" t="n"/>
      <c r="N40" s="152" t="n"/>
      <c r="O40" s="152" t="n"/>
      <c r="P40" s="152" t="n"/>
      <c r="Q40" s="152" t="n"/>
      <c r="R40" s="152" t="n"/>
      <c r="S40" s="152" t="n"/>
      <c r="T40" s="152" t="n"/>
      <c r="U40" s="152" t="n"/>
      <c r="V40" s="152" t="n"/>
      <c r="W40" s="152" t="n"/>
      <c r="X40" s="152" t="n"/>
      <c r="Y40" s="152" t="n"/>
      <c r="Z40" s="152" t="n"/>
      <c r="AA40" s="152" t="n"/>
      <c r="AB40" s="124" t="n"/>
      <c r="AC40" s="153" t="n"/>
      <c r="AD40" s="154" t="n"/>
      <c r="AE40" s="210" t="n"/>
    </row>
    <row r="41">
      <c r="B41" t="inlineStr">
        <is>
          <t>Implied rent @ raw comp $/SF (no premium)</t>
        </is>
      </c>
      <c r="D41" s="203">
        <f>IFERROR(D39*Data_Summary!$C$22,"")</f>
        <v/>
      </c>
      <c r="K41" s="156" t="n"/>
      <c r="L41" s="89" t="n"/>
      <c r="M41" s="89" t="n"/>
      <c r="N41" s="89" t="n"/>
      <c r="O41" s="89" t="n"/>
      <c r="P41" s="89" t="n"/>
      <c r="Q41" s="89" t="n"/>
      <c r="R41" s="89" t="n"/>
      <c r="S41" s="89" t="n"/>
      <c r="T41" s="89" t="n"/>
      <c r="U41" s="89" t="n"/>
      <c r="V41" s="89" t="n"/>
      <c r="W41" s="89" t="n"/>
      <c r="X41" s="89" t="n"/>
      <c r="Y41" s="89" t="n"/>
      <c r="Z41" s="89" t="n"/>
      <c r="AA41" s="89" t="n"/>
      <c r="AB41" s="120" t="n"/>
      <c r="AC41" s="157" t="n"/>
      <c r="AD41" s="158" t="n"/>
      <c r="AE41" s="211" t="n"/>
    </row>
    <row r="42">
      <c r="K42" s="146" t="inlineStr">
        <is>
          <t>Subject Property (Using Comp PSF Rent)</t>
        </is>
      </c>
      <c r="L42" s="173" t="n"/>
      <c r="M42" s="173" t="n"/>
      <c r="N42" s="173" t="n"/>
      <c r="O42" s="173" t="n"/>
      <c r="P42" s="123" t="n"/>
      <c r="Q42" s="147" t="n"/>
      <c r="R42" s="148" t="n"/>
      <c r="S42" s="208" t="n"/>
      <c r="T42" s="123" t="n"/>
      <c r="U42" s="147" t="n"/>
      <c r="V42" s="148" t="n"/>
      <c r="W42" s="208" t="n"/>
      <c r="X42" s="123" t="n"/>
      <c r="Y42" s="147" t="n"/>
      <c r="Z42" s="148" t="n"/>
      <c r="AA42" s="208" t="n"/>
      <c r="AB42" s="123" t="n"/>
      <c r="AC42" s="147" t="n"/>
      <c r="AD42" s="148" t="n"/>
      <c r="AE42" s="209" t="n"/>
    </row>
    <row r="43">
      <c r="B43" s="190" t="inlineStr">
        <is>
          <t>NOTES &amp; CONTEXT</t>
        </is>
      </c>
      <c r="K43" s="151" t="inlineStr">
        <is>
          <t>Subject Property PSF Rent Building Total</t>
        </is>
      </c>
      <c r="L43" s="152" t="n"/>
      <c r="M43" s="152" t="n"/>
      <c r="N43" s="152" t="n"/>
      <c r="O43" s="152" t="n"/>
      <c r="P43" s="152" t="n"/>
      <c r="Q43" s="152" t="n"/>
      <c r="R43" s="152" t="n"/>
      <c r="S43" s="152" t="n"/>
      <c r="T43" s="152" t="n"/>
      <c r="U43" s="152" t="n"/>
      <c r="V43" s="152" t="n"/>
      <c r="W43" s="152" t="n"/>
      <c r="X43" s="152" t="n"/>
      <c r="Y43" s="152" t="n"/>
      <c r="Z43" s="152" t="n"/>
      <c r="AA43" s="152" t="n"/>
      <c r="AB43" s="124" t="n"/>
      <c r="AC43" s="153" t="n"/>
      <c r="AD43" s="154" t="n"/>
      <c r="AE43" s="210" t="n"/>
    </row>
    <row r="44">
      <c r="B44" t="inlineStr">
        <is>
          <t>Recommendation folded in from the former Subject &amp; Conclusion sheet (now deleted). Source bridge: raw comp $/SF → + subject premium → recommended $/SF; all-comp basis = conservative floor.</t>
        </is>
      </c>
      <c r="K44" s="90" t="n"/>
      <c r="L44" s="90" t="n"/>
      <c r="M44" s="90" t="n"/>
      <c r="N44" s="90" t="n"/>
      <c r="O44" s="90" t="n"/>
      <c r="P44" s="90" t="n"/>
      <c r="Q44" s="90" t="n"/>
      <c r="R44" s="90" t="n"/>
      <c r="S44" s="90" t="n"/>
      <c r="T44" s="90" t="n"/>
      <c r="U44" s="90" t="n"/>
      <c r="V44" s="90" t="n"/>
      <c r="W44" s="90" t="n"/>
      <c r="X44" s="90" t="n"/>
      <c r="Y44" s="90" t="n"/>
      <c r="Z44" s="90" t="n"/>
      <c r="AA44" s="90" t="n"/>
      <c r="AB44" s="90" t="n"/>
      <c r="AC44" s="90" t="n"/>
      <c r="AD44" s="90" t="n"/>
      <c r="AE44" s="90" t="n"/>
    </row>
    <row r="45">
      <c r="B45" t="inlineStr">
        <is>
          <t>Confidence fills (Raw Data): green = leased in-window + SF verified per-unit · cream = active / older / minor caveat / apartment asking-only · orange = excluded partial / bracket-only.</t>
        </is>
      </c>
      <c r="K45" s="146" t="inlineStr">
        <is>
          <t>Subject Property Rent</t>
        </is>
      </c>
      <c r="L45" s="173" t="n"/>
      <c r="M45" s="173" t="n"/>
      <c r="N45" s="173" t="n"/>
      <c r="O45" s="173" t="n"/>
      <c r="P45" s="123" t="n"/>
      <c r="Q45" s="147" t="n"/>
      <c r="R45" s="148" t="n"/>
      <c r="S45" s="208" t="n"/>
      <c r="T45" s="123" t="n"/>
      <c r="U45" s="147" t="n"/>
      <c r="V45" s="148" t="n"/>
      <c r="W45" s="208" t="n"/>
      <c r="X45" s="123" t="n"/>
      <c r="Y45" s="147" t="n"/>
      <c r="Z45" s="148" t="n"/>
      <c r="AA45" s="208" t="n"/>
      <c r="AB45" s="123" t="n"/>
      <c r="AC45" s="147" t="n"/>
      <c r="AD45" s="148" t="n"/>
      <c r="AE45" s="209" t="n"/>
    </row>
    <row r="46">
      <c r="K46" s="151" t="inlineStr">
        <is>
          <t>Subject Property Rent Building Total</t>
        </is>
      </c>
      <c r="L46" s="152" t="n"/>
      <c r="M46" s="152" t="n"/>
      <c r="N46" s="152" t="n"/>
      <c r="O46" s="152" t="n"/>
      <c r="P46" s="152" t="n"/>
      <c r="Q46" s="152" t="n"/>
      <c r="R46" s="152" t="n"/>
      <c r="S46" s="152" t="n"/>
      <c r="T46" s="152" t="n"/>
      <c r="U46" s="152" t="n"/>
      <c r="V46" s="152" t="n"/>
      <c r="W46" s="152" t="n"/>
      <c r="X46" s="152" t="n"/>
      <c r="Y46" s="152" t="n"/>
      <c r="Z46" s="152" t="n"/>
      <c r="AA46" s="152" t="n"/>
      <c r="AB46" s="124" t="n"/>
      <c r="AC46" s="153" t="n"/>
      <c r="AD46" s="154" t="n"/>
      <c r="AE46" s="210" t="n"/>
    </row>
    <row r="47">
      <c r="K47" s="90" t="n"/>
      <c r="L47" s="90" t="n"/>
      <c r="M47" s="90" t="n"/>
      <c r="N47" s="90" t="n"/>
      <c r="O47" s="90" t="n"/>
      <c r="P47" s="90" t="n"/>
      <c r="Q47" s="90" t="n"/>
      <c r="R47" s="90" t="n"/>
      <c r="S47" s="90" t="n"/>
      <c r="T47" s="90" t="n"/>
      <c r="U47" s="90" t="n"/>
      <c r="V47" s="90" t="n"/>
      <c r="W47" s="90" t="n"/>
      <c r="X47" s="90" t="n"/>
      <c r="Y47" s="90" t="n"/>
      <c r="Z47" s="90" t="n"/>
      <c r="AA47" s="90" t="n"/>
      <c r="AB47" s="90" t="n"/>
      <c r="AC47" s="90" t="n"/>
      <c r="AD47" s="90" t="n"/>
      <c r="AE47" s="90" t="n"/>
    </row>
    <row r="48">
      <c r="K48" s="92" t="inlineStr">
        <is>
          <t>Regression:</t>
        </is>
      </c>
      <c r="L48" s="160" t="n"/>
      <c r="M48" s="160" t="n"/>
      <c r="N48" s="160" t="n"/>
      <c r="O48" s="160" t="n"/>
      <c r="P48" s="160" t="n"/>
      <c r="Q48" s="160" t="n"/>
      <c r="R48" s="160" t="n"/>
      <c r="S48" s="160" t="n"/>
      <c r="T48" s="160" t="n"/>
      <c r="U48" s="160" t="n"/>
      <c r="V48" s="160" t="n"/>
      <c r="W48" s="160" t="n"/>
      <c r="X48" s="160" t="n"/>
      <c r="Y48" s="160" t="n"/>
      <c r="Z48" s="160" t="n"/>
      <c r="AA48" s="160" t="n"/>
      <c r="AB48" s="160" t="n"/>
      <c r="AC48" s="160" t="n"/>
      <c r="AD48" s="160" t="n"/>
      <c r="AE48" s="161" t="n"/>
    </row>
    <row r="49">
      <c r="K49" s="97" t="inlineStr">
        <is>
          <t>Coefficients:</t>
        </is>
      </c>
      <c r="L49" s="90" t="n"/>
      <c r="M49" s="90" t="n"/>
      <c r="N49" s="90" t="n"/>
      <c r="O49" s="90" t="n"/>
      <c r="P49" s="162" t="n"/>
      <c r="Q49" s="162" t="n"/>
      <c r="R49" s="163" t="n"/>
      <c r="S49" s="90" t="n"/>
      <c r="T49" s="162" t="n"/>
      <c r="U49" s="162" t="n"/>
      <c r="V49" s="163" t="n"/>
      <c r="W49" s="90" t="n"/>
      <c r="X49" s="162" t="n"/>
      <c r="Y49" s="162" t="n"/>
      <c r="Z49" s="163" t="n"/>
      <c r="AA49" s="90" t="n"/>
      <c r="AB49" s="162" t="n"/>
      <c r="AC49" s="162" t="n"/>
      <c r="AD49" s="163" t="n"/>
      <c r="AE49" s="164" t="n"/>
    </row>
    <row r="50">
      <c r="K50" s="97" t="inlineStr">
        <is>
          <t>Total Building coefficient</t>
        </is>
      </c>
      <c r="L50" s="90" t="n"/>
      <c r="M50" s="90" t="n"/>
      <c r="N50" s="90" t="n"/>
      <c r="O50" s="90" t="n"/>
      <c r="P50" s="90" t="n"/>
      <c r="Q50" s="90" t="n"/>
      <c r="R50" s="90" t="n"/>
      <c r="S50" s="90" t="n"/>
      <c r="T50" s="90" t="n"/>
      <c r="U50" s="90" t="n"/>
      <c r="V50" s="90" t="n"/>
      <c r="W50" s="90" t="n"/>
      <c r="X50" s="90" t="n"/>
      <c r="Y50" s="90" t="n"/>
      <c r="Z50" s="90" t="n"/>
      <c r="AA50" s="90" t="n"/>
      <c r="AB50" s="162" t="n"/>
      <c r="AC50" s="90" t="n"/>
      <c r="AD50" s="90" t="n"/>
      <c r="AE50" s="164" t="n"/>
    </row>
    <row r="51">
      <c r="K51" s="97" t="n"/>
      <c r="L51" s="90" t="n"/>
      <c r="M51" s="90" t="n"/>
      <c r="N51" s="90" t="n"/>
      <c r="O51" s="90" t="n"/>
      <c r="P51" s="90" t="n"/>
      <c r="Q51" s="90" t="n"/>
      <c r="R51" s="90" t="n"/>
      <c r="S51" s="90" t="n"/>
      <c r="T51" s="90" t="n"/>
      <c r="U51" s="90" t="n"/>
      <c r="V51" s="90" t="n"/>
      <c r="W51" s="90" t="n"/>
      <c r="X51" s="90" t="n"/>
      <c r="Y51" s="90" t="n"/>
      <c r="Z51" s="90" t="n"/>
      <c r="AA51" s="90" t="n"/>
      <c r="AB51" s="90" t="n"/>
      <c r="AC51" s="90" t="n"/>
      <c r="AD51" s="90" t="n"/>
      <c r="AE51" s="164" t="n"/>
    </row>
    <row r="52">
      <c r="K52" s="97" t="inlineStr">
        <is>
          <t>Subject Property Rent (Increase)</t>
        </is>
      </c>
      <c r="L52" s="90" t="n"/>
      <c r="M52" s="90" t="n"/>
      <c r="N52" s="90" t="n"/>
      <c r="O52" s="90" t="n"/>
      <c r="P52" s="162" t="n"/>
      <c r="Q52" s="162" t="n"/>
      <c r="R52" s="90" t="n"/>
      <c r="S52" s="90" t="n"/>
      <c r="T52" s="162" t="n"/>
      <c r="U52" s="162" t="n"/>
      <c r="V52" s="90" t="n"/>
      <c r="W52" s="90" t="n"/>
      <c r="X52" s="162" t="n"/>
      <c r="Y52" s="162" t="n"/>
      <c r="Z52" s="90" t="n"/>
      <c r="AA52" s="90" t="n"/>
      <c r="AB52" s="162" t="n"/>
      <c r="AC52" s="162" t="n"/>
      <c r="AD52" s="90" t="n"/>
      <c r="AE52" s="164" t="n"/>
    </row>
    <row r="53">
      <c r="K53" s="165" t="inlineStr">
        <is>
          <t>Subject Property Rent</t>
        </is>
      </c>
      <c r="L53" s="168" t="n"/>
      <c r="M53" s="168" t="n"/>
      <c r="N53" s="168" t="n"/>
      <c r="O53" s="168" t="n"/>
      <c r="P53" s="166" t="n"/>
      <c r="Q53" s="166" t="n"/>
      <c r="R53" s="167" t="n"/>
      <c r="S53" s="168" t="n"/>
      <c r="T53" s="168" t="n"/>
      <c r="U53" s="168" t="n"/>
      <c r="V53" s="168" t="n"/>
      <c r="W53" s="168" t="n"/>
      <c r="X53" s="166" t="n"/>
      <c r="Y53" s="166" t="n"/>
      <c r="Z53" s="167" t="n"/>
      <c r="AA53" s="168" t="n"/>
      <c r="AB53" s="166" t="n"/>
      <c r="AC53" s="166" t="n"/>
      <c r="AD53" s="167" t="n"/>
      <c r="AE53" s="169" t="n"/>
    </row>
    <row r="54">
      <c r="K54" s="60" t="n"/>
      <c r="L54" s="60" t="n"/>
      <c r="M54" s="60" t="n"/>
      <c r="N54" s="60" t="n"/>
      <c r="O54" s="60" t="n"/>
      <c r="P54" s="60" t="n"/>
      <c r="Q54" s="60" t="n"/>
      <c r="R54" s="60" t="n"/>
      <c r="S54" s="60" t="n"/>
      <c r="T54" s="60" t="n"/>
      <c r="U54" s="60" t="n"/>
      <c r="V54" s="60" t="n"/>
      <c r="W54" s="60" t="n"/>
      <c r="X54" s="60" t="n"/>
      <c r="Y54" s="60" t="n"/>
      <c r="Z54" s="60" t="n"/>
      <c r="AA54" s="60" t="n"/>
      <c r="AB54" s="60" t="n"/>
      <c r="AC54" s="60" t="n"/>
      <c r="AD54" s="60" t="n"/>
      <c r="AE54" s="60" t="n"/>
    </row>
    <row r="55" ht="5.1" customHeight="1">
      <c r="K55" s="60" t="n"/>
      <c r="L55" s="60" t="n"/>
      <c r="M55" s="60" t="n"/>
      <c r="N55" s="60" t="n"/>
      <c r="O55" s="60" t="n"/>
      <c r="P55" s="60" t="n"/>
      <c r="Q55" s="60" t="n"/>
      <c r="R55" s="60" t="n"/>
      <c r="S55" s="60" t="n"/>
      <c r="T55" s="60" t="n"/>
      <c r="U55" s="60" t="n"/>
      <c r="V55" s="60" t="n"/>
      <c r="W55" s="60" t="n"/>
      <c r="X55" s="60" t="n"/>
      <c r="Y55" s="60" t="n"/>
      <c r="Z55" s="60" t="n"/>
      <c r="AA55" s="60" t="n"/>
      <c r="AB55" s="60" t="n"/>
      <c r="AC55" s="60" t="n"/>
      <c r="AD55" s="60" t="n"/>
      <c r="AE55" s="60" t="n"/>
    </row>
    <row r="56">
      <c r="K56" s="90" t="n"/>
      <c r="L56" s="90" t="n"/>
      <c r="M56" s="90" t="n"/>
      <c r="N56" s="90" t="n"/>
      <c r="O56" s="90" t="n"/>
      <c r="P56" s="90" t="n"/>
      <c r="Q56" s="90" t="n"/>
      <c r="R56" s="91" t="inlineStr">
        <is>
          <t>Unadjusted</t>
        </is>
      </c>
      <c r="S56" s="90" t="n"/>
      <c r="T56" s="90" t="n"/>
      <c r="U56" s="90" t="n"/>
      <c r="V56" s="90" t="n"/>
      <c r="W56" s="90" t="n"/>
      <c r="X56" s="90" t="n"/>
      <c r="Y56" s="90" t="n"/>
      <c r="Z56" s="91" t="inlineStr">
        <is>
          <t>Unadjusted</t>
        </is>
      </c>
      <c r="AA56" s="90" t="n"/>
      <c r="AB56" s="90" t="n"/>
      <c r="AC56" s="90" t="n"/>
      <c r="AD56" s="91" t="inlineStr">
        <is>
          <t>Unadjusted</t>
        </is>
      </c>
      <c r="AE56" s="90" t="n"/>
    </row>
    <row r="57">
      <c r="K57" s="89" t="inlineStr">
        <is>
          <t>TRREB Data (Q1 2026)</t>
        </is>
      </c>
      <c r="L57" s="89" t="n"/>
      <c r="M57" s="89" t="n"/>
      <c r="N57" s="89" t="n"/>
      <c r="O57" s="89" t="n"/>
      <c r="P57" s="90" t="n"/>
      <c r="Q57" s="90" t="n"/>
      <c r="R57" s="91" t="inlineStr">
        <is>
          <t>Rent</t>
        </is>
      </c>
      <c r="S57" s="89" t="n"/>
      <c r="T57" s="89" t="n"/>
      <c r="U57" s="89" t="n"/>
      <c r="V57" s="89" t="n"/>
      <c r="W57" s="89" t="n"/>
      <c r="X57" s="89" t="n"/>
      <c r="Y57" s="89" t="n"/>
      <c r="Z57" s="91" t="inlineStr">
        <is>
          <t>Rent</t>
        </is>
      </c>
      <c r="AA57" s="89" t="n"/>
      <c r="AB57" s="89" t="n"/>
      <c r="AC57" s="89" t="n"/>
      <c r="AD57" s="91" t="inlineStr">
        <is>
          <t>Rent</t>
        </is>
      </c>
      <c r="AE57" s="90" t="n"/>
    </row>
    <row r="58">
      <c r="K58" s="92" t="inlineStr">
        <is>
          <t>C14</t>
        </is>
      </c>
      <c r="L58" s="160" t="n"/>
      <c r="M58" s="160" t="n"/>
      <c r="N58" s="160" t="n"/>
      <c r="O58" s="160" t="n"/>
      <c r="P58" s="93" t="n"/>
      <c r="Q58" s="94" t="n"/>
      <c r="R58" s="95" t="n"/>
      <c r="S58" s="94" t="n"/>
      <c r="T58" s="94" t="n"/>
      <c r="U58" s="94" t="n"/>
      <c r="V58" s="94" t="n"/>
      <c r="W58" s="94" t="n"/>
      <c r="X58" s="93" t="n"/>
      <c r="Y58" s="94" t="n"/>
      <c r="Z58" s="95" t="n"/>
      <c r="AA58" s="94" t="n"/>
      <c r="AB58" s="94" t="n"/>
      <c r="AC58" s="94" t="n"/>
      <c r="AD58" s="95" t="n"/>
      <c r="AE58" s="96" t="n"/>
    </row>
    <row r="59">
      <c r="K59" s="97" t="inlineStr">
        <is>
          <t>City of Toronto</t>
        </is>
      </c>
      <c r="L59" s="90" t="n"/>
      <c r="M59" s="90" t="n"/>
      <c r="N59" s="90" t="n"/>
      <c r="O59" s="90" t="n"/>
      <c r="P59" s="98" t="n"/>
      <c r="Q59" s="99" t="n"/>
      <c r="R59" s="100" t="n"/>
      <c r="S59" s="99" t="n"/>
      <c r="T59" s="99" t="n"/>
      <c r="U59" s="99" t="n"/>
      <c r="V59" s="99" t="n"/>
      <c r="W59" s="99" t="n"/>
      <c r="X59" s="98" t="n"/>
      <c r="Y59" s="99" t="n"/>
      <c r="Z59" s="100" t="n"/>
      <c r="AA59" s="99" t="n"/>
      <c r="AB59" s="99" t="n"/>
      <c r="AC59" s="99" t="n"/>
      <c r="AD59" s="100" t="n"/>
      <c r="AE59" s="101" t="n"/>
    </row>
    <row r="60">
      <c r="K60" s="102" t="inlineStr">
        <is>
          <t>YoY Change</t>
        </is>
      </c>
      <c r="L60" s="174" t="n"/>
      <c r="M60" s="174" t="n"/>
      <c r="N60" s="174" t="n"/>
      <c r="O60" s="174" t="n"/>
      <c r="P60" s="103" t="n"/>
      <c r="Q60" s="104" t="n"/>
      <c r="R60" s="103" t="n"/>
      <c r="S60" s="104" t="n"/>
      <c r="T60" s="104" t="n"/>
      <c r="U60" s="104" t="n"/>
      <c r="V60" s="104" t="n"/>
      <c r="W60" s="104" t="n"/>
      <c r="X60" s="103" t="n"/>
      <c r="Y60" s="104" t="n"/>
      <c r="Z60" s="103" t="n"/>
      <c r="AA60" s="104" t="n"/>
      <c r="AB60" s="103" t="n"/>
      <c r="AC60" s="104" t="n"/>
      <c r="AD60" s="103" t="n"/>
      <c r="AE60" s="105"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7"/>
  <sheetViews>
    <sheetView showGridLines="0" zoomScaleNormal="100" workbookViewId="0">
      <selection activeCell="B5" sqref="B5"/>
    </sheetView>
  </sheetViews>
  <sheetFormatPr baseColWidth="8" defaultColWidth="8.7109375" defaultRowHeight="12.75"/>
  <cols>
    <col width="18" customWidth="1" min="1" max="1"/>
    <col width="20" customWidth="1" min="2" max="5"/>
    <col width="9" customWidth="1" min="6" max="9"/>
    <col width="14" bestFit="1" customWidth="1" min="10" max="10"/>
    <col width="9" customWidth="1" min="11" max="11"/>
    <col width="11" customWidth="1" min="12" max="12"/>
    <col width="10" customWidth="1" min="13" max="13"/>
    <col width="24" customWidth="1" min="14" max="14"/>
  </cols>
  <sheetData>
    <row r="1" ht="17.25" customHeight="1">
      <c r="A1" s="30" t="inlineStr">
        <is>
          <t>Comp Building Summary — Hickory Tree Tower (1736-1746 Weston Rd)</t>
        </is>
      </c>
    </row>
    <row r="3" ht="15" customHeight="1">
      <c r="A3" s="170" t="inlineStr">
        <is>
          <t>Building</t>
        </is>
      </c>
      <c r="B3" s="170" t="inlineStr">
        <is>
          <t>Address</t>
        </is>
      </c>
      <c r="C3" s="170" t="inlineStr">
        <is>
          <t>Area</t>
        </is>
      </c>
      <c r="D3" s="170" t="inlineStr">
        <is>
          <t>Developer</t>
        </is>
      </c>
      <c r="E3" s="170" t="inlineStr">
        <is>
          <t>First Occupancy</t>
        </is>
      </c>
      <c r="F3" s="31" t="inlineStr">
        <is>
          <t>Yr Built</t>
        </is>
      </c>
      <c r="G3" s="31" t="inlineStr">
        <is>
          <t>Product</t>
        </is>
      </c>
      <c r="H3" s="31" t="inlineStr">
        <is>
          <t>Storeys</t>
        </is>
      </c>
      <c r="I3" s="31" t="inlineStr">
        <is>
          <t>Units</t>
        </is>
      </c>
      <c r="J3" s="31" t="inlineStr">
        <is>
          <t>Transaction Count</t>
        </is>
      </c>
      <c r="K3" s="31" t="inlineStr">
        <is>
          <t>Avg SF</t>
        </is>
      </c>
      <c r="L3" s="31" t="inlineStr">
        <is>
          <t>Avg Rent</t>
        </is>
      </c>
      <c r="M3" s="31" t="inlineStr">
        <is>
          <t>Avg $/SF</t>
        </is>
      </c>
    </row>
    <row r="4" ht="15" customHeight="1">
      <c r="A4" t="inlineStr">
        <is>
          <t>The Humber</t>
        </is>
      </c>
      <c r="B4" t="inlineStr">
        <is>
          <t>10 Wilby Crescent</t>
        </is>
      </c>
      <c r="C4" s="60" t="inlineStr">
        <is>
          <t>Weston</t>
        </is>
      </c>
      <c r="D4" t="inlineStr">
        <is>
          <t>Options for Homes</t>
        </is>
      </c>
      <c r="F4" s="171" t="n">
        <v>2023</v>
      </c>
      <c r="G4" t="inlineStr">
        <is>
          <t>Condo</t>
        </is>
      </c>
      <c r="H4" t="n">
        <v>22</v>
      </c>
      <c r="I4" t="n">
        <v>232</v>
      </c>
      <c r="J4" s="212">
        <f>COUNTIFS('RD Condos'!$K:$K,$A4,'RD Condos'!$A:$A,1)</f>
        <v/>
      </c>
      <c r="K4" s="32">
        <f>IFERROR(AVERAGEIFS('RD Condos'!$B:$B,'RD Condos'!$K:$K,$A4,'RD Condos'!$A:$A,1),"")</f>
        <v/>
      </c>
      <c r="L4" s="32">
        <f>IFERROR(AVERAGEIFS('RD Condos'!$AB:$AB,'RD Condos'!$K:$K,$A4,'RD Condos'!$A:$A,1),"")</f>
        <v/>
      </c>
      <c r="M4" s="213">
        <f>IFERROR(AVERAGEIFS('RD Condos'!$E:$E,'RD Condos'!$K:$K,$A4,'RD Condos'!$A:$A,1),"")</f>
        <v/>
      </c>
    </row>
    <row r="5" ht="15" customHeight="1">
      <c r="A5" s="35" t="inlineStr">
        <is>
          <t>ALL CONDOS</t>
        </is>
      </c>
      <c r="B5" s="36" t="n"/>
      <c r="C5" s="36" t="n"/>
      <c r="D5" s="36" t="n"/>
      <c r="E5" s="36" t="n"/>
      <c r="F5" s="36" t="n"/>
      <c r="G5" s="36" t="n"/>
      <c r="H5" s="36" t="n"/>
      <c r="I5" s="36" t="n"/>
      <c r="J5" s="214">
        <f>SUM(J4:J4)</f>
        <v/>
      </c>
      <c r="K5" s="37">
        <f>IFERROR(AVERAGEIFS('RD Condos'!$B:$B,'RD Condos'!$A:$A,1),"")</f>
        <v/>
      </c>
      <c r="L5" s="37">
        <f>IFERROR(AVERAGEIFS('RD Condos'!$AB:$AB,'RD Condos'!$A:$A,1),"")</f>
        <v/>
      </c>
      <c r="M5" s="215">
        <f>IFERROR(AVERAGEIFS('RD Condos'!$AN:$AN,'RD Condos'!$A:$A,1),"")</f>
        <v/>
      </c>
    </row>
    <row r="6" ht="15" customHeight="1">
      <c r="A6" t="inlineStr">
        <is>
          <t>ALL APARTMENTS</t>
        </is>
      </c>
      <c r="J6" s="212">
        <f>COUNTIFS('RD Apartments'!$A:$A,1)</f>
        <v/>
      </c>
      <c r="K6" s="26">
        <f>IFERROR(AVERAGEIFS('RD Apartments'!$B:$B,'RD Apartments'!$A:$A,1),"")</f>
        <v/>
      </c>
      <c r="L6" s="26">
        <f>IFERROR(AVERAGEIFS('RD Apartments'!$AB:$AB,'RD Apartments'!$A:$A,1),"")</f>
        <v/>
      </c>
      <c r="M6" s="216">
        <f>IFERROR(AVERAGEIFS('RD Apartments'!$AN:$AN,'RD Apartments'!$A:$A,1),"")</f>
        <v/>
      </c>
    </row>
    <row r="7" ht="15" customHeight="1">
      <c r="A7" t="inlineStr">
        <is>
          <t>Apartment band is structurally present per spec; no apartment comps in this template set.</t>
        </is>
      </c>
    </row>
    <row r="8" ht="15" customHeight="1"/>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48"/>
  <sheetViews>
    <sheetView showGridLines="0" zoomScale="81" zoomScaleNormal="100" workbookViewId="0">
      <selection activeCell="C4" sqref="C4"/>
    </sheetView>
  </sheetViews>
  <sheetFormatPr baseColWidth="8" defaultColWidth="8.7109375" defaultRowHeight="12.75"/>
  <cols>
    <col width="34" customWidth="1" min="1" max="1"/>
    <col width="20" customWidth="1" min="2" max="2"/>
    <col width="16" customWidth="1" min="3" max="3"/>
    <col width="30" customWidth="1" min="4" max="4"/>
    <col width="12" customWidth="1" min="5" max="5"/>
    <col width="16" customWidth="1" min="6" max="6"/>
    <col width="12" customWidth="1" min="7" max="7"/>
    <col width="8" customWidth="1" min="8" max="8"/>
  </cols>
  <sheetData>
    <row r="1" ht="15" customHeight="1">
      <c r="B1" s="24" t="inlineStr">
        <is>
          <t>Date Filter (include leases on/after)</t>
        </is>
      </c>
      <c r="C1" s="40" t="n">
        <v>45778</v>
      </c>
      <c r="G1" s="24" t="inlineStr">
        <is>
          <t>Subject unit mix (1BR/2BR/3BR, den-incl) — DERIVED</t>
        </is>
      </c>
      <c r="J1" t="inlineStr">
        <is>
          <t>SF</t>
        </is>
      </c>
      <c r="K1" t="inlineStr">
        <is>
          <t>#Park</t>
        </is>
      </c>
      <c r="L1" t="inlineStr">
        <is>
          <t>2BD</t>
        </is>
      </c>
      <c r="M1" t="inlineStr">
        <is>
          <t>3BD</t>
        </is>
      </c>
      <c r="N1" t="inlineStr">
        <is>
          <t>Leased$</t>
        </is>
      </c>
      <c r="P1" s="190" t="inlineStr">
        <is>
          <t>Subject Unit-Mix Derivation (P/Q)</t>
        </is>
      </c>
      <c r="S1" s="190" t="inlineStr">
        <is>
          <t>Subject Output mix &amp; suite count (template — replace per subject)</t>
        </is>
      </c>
    </row>
    <row r="2" ht="15" customHeight="1">
      <c r="B2" s="24" t="inlineStr">
        <is>
          <t>Parking Adjustment ($/spot/mo)</t>
        </is>
      </c>
      <c r="C2" s="217">
        <f>IFERROR(IF(AND(COUNT($N$2:$N$26)&gt;=10,(MAX($K$2:$K$26)-MIN($K$2:$K$26))&gt;0),INDEX(LINEST($N$2:$N$26,$J$2:$M$26,TRUE(),FALSE()),1,3),0),0)</f>
        <v/>
      </c>
      <c r="D2">
        <f>IF(AND(COUNT($N$2:$N$26)&gt;=10,(MAX($K$2:$K$26)-MIN($K$2:$K$26))&gt;0),"LIVE OLS coefficient — rent ~ SF + parking + 2BD + 3BD over verified leased rows (helper J:N). Recomputes with the data; never typed.","0 — insufficient parking variation in included comp set")</f>
        <v/>
      </c>
      <c r="G2" s="24" t="inlineStr">
        <is>
          <t>1BR wt</t>
        </is>
      </c>
      <c r="H2" s="218">
        <f>IFERROR(IF($Q$5&gt;0,$Q$2/$Q$5,$Q$8),$Q$8)</f>
        <v/>
      </c>
      <c r="J2">
        <f>'RD Condos'!B2</f>
        <v/>
      </c>
      <c r="K2">
        <f>'RD Condos'!U2</f>
        <v/>
      </c>
      <c r="L2">
        <f>IF('RD Condos'!H2="2",1,0)</f>
        <v/>
      </c>
      <c r="M2">
        <f>IF('RD Condos'!H2="3",1,0)</f>
        <v/>
      </c>
      <c r="N2">
        <f>'RD Condos'!AB2</f>
        <v/>
      </c>
      <c r="P2" t="inlineStr">
        <is>
          <t>1BR plans (SUBJECT, den-incl)</t>
        </is>
      </c>
      <c r="Q2">
        <f>COUNTIFS('Floor Plans'!$A:$A,"*(SUBJECT)*",'Floor Plans'!$I:$I,"&lt;=1")</f>
        <v/>
      </c>
      <c r="S2" t="inlineStr">
        <is>
          <t>Suite count</t>
        </is>
      </c>
      <c r="T2" s="207" t="n">
        <v>232</v>
      </c>
      <c r="U2" t="inlineStr">
        <is>
          <t>template placeholder — replace with the subject's suite count</t>
        </is>
      </c>
    </row>
    <row r="3" ht="15" customHeight="1">
      <c r="B3" s="24" t="inlineStr">
        <is>
          <t>Apartment premium (apt comps only) — OFF</t>
        </is>
      </c>
      <c r="C3" s="219" t="n">
        <v>0</v>
      </c>
      <c r="D3" s="184">
        <f>IF(COUNTIFS('RD Apartments'!$A:$A,1)&gt;0,"Apartment→condo $/SF markup; applies to RD Apartments col AN only — derive from APARTMENT PREMIUM BASIS or user-confirm; never a bare %.","Unused — no apartment comps in selected set")</f>
        <v/>
      </c>
      <c r="G3" s="24" t="inlineStr">
        <is>
          <t>2BR wt</t>
        </is>
      </c>
      <c r="H3" s="218">
        <f>IFERROR(IF($Q$5&gt;0,$Q$3/$Q$5,$Q$9),$Q$9)</f>
        <v/>
      </c>
      <c r="J3">
        <f>'RD Condos'!B3</f>
        <v/>
      </c>
      <c r="K3">
        <f>'RD Condos'!U3</f>
        <v/>
      </c>
      <c r="L3">
        <f>IF('RD Condos'!H3="2",1,0)</f>
        <v/>
      </c>
      <c r="M3">
        <f>IF('RD Condos'!H3="3",1,0)</f>
        <v/>
      </c>
      <c r="N3">
        <f>'RD Condos'!AB3</f>
        <v/>
      </c>
      <c r="P3" t="inlineStr">
        <is>
          <t>2BR plans (SUBJECT)</t>
        </is>
      </c>
      <c r="Q3">
        <f>COUNTIFS('Floor Plans'!$A:$A,"*(SUBJECT)*",'Floor Plans'!$I:$I,2)</f>
        <v/>
      </c>
      <c r="S3" t="inlineStr">
        <is>
          <t>1BR wt</t>
        </is>
      </c>
      <c r="T3" s="219" t="n">
        <v>0.36</v>
      </c>
    </row>
    <row r="4" ht="15" customHeight="1">
      <c r="B4" s="24" t="inlineStr">
        <is>
          <t>Subject rental premium (new-build / lease-up; comp $/SF → subject)</t>
        </is>
      </c>
      <c r="C4" s="219" t="n">
        <v>0.133</v>
      </c>
      <c r="D4" s="184">
        <f>IF(C35=0,"JUDGMENT lever — single-comp set so the live vintage spread is 0%; C4="&amp;TEXT(C4,"0.0%")&amp;" carried from the prior Hickory model (Data_Old, +12.4–13.3%). Confirm with user.","JUDGMENT lever — anchored to PREMIUM BASIS below: spread "&amp;TEXT(C35,"0.0%")&amp;" to "&amp;TEXT(C36,"0.0%")&amp;"; C4="&amp;TEXT(C4,"0.0%")&amp;". Confirm with user.")</f>
        <v/>
      </c>
      <c r="G4" s="24" t="inlineStr">
        <is>
          <t>3BR wt</t>
        </is>
      </c>
      <c r="H4" s="218">
        <f>IFERROR(IF($Q$5&gt;0,$Q$4/$Q$5,$Q$10),$Q$10)</f>
        <v/>
      </c>
      <c r="J4">
        <f>'RD Condos'!B4</f>
        <v/>
      </c>
      <c r="K4">
        <f>'RD Condos'!U4</f>
        <v/>
      </c>
      <c r="L4">
        <f>IF('RD Condos'!H4="2",1,0)</f>
        <v/>
      </c>
      <c r="M4">
        <f>IF('RD Condos'!H4="3",1,0)</f>
        <v/>
      </c>
      <c r="N4">
        <f>'RD Condos'!AB4</f>
        <v/>
      </c>
      <c r="P4" t="inlineStr">
        <is>
          <t>3BR plans (SUBJECT)</t>
        </is>
      </c>
      <c r="Q4">
        <f>COUNTIFS('Floor Plans'!$A:$A,"*(SUBJECT)*",'Floor Plans'!$I:$I,"&gt;=3")</f>
        <v/>
      </c>
      <c r="S4" t="inlineStr">
        <is>
          <t>1+Den wt</t>
        </is>
      </c>
      <c r="T4" s="219" t="n">
        <v>0.1</v>
      </c>
    </row>
    <row r="5" ht="15" customHeight="1">
      <c r="A5" s="24" t="inlineStr">
        <is>
          <t>Comp building rollup (included leases)</t>
        </is>
      </c>
      <c r="J5">
        <f>'RD Condos'!B5</f>
        <v/>
      </c>
      <c r="K5">
        <f>'RD Condos'!U5</f>
        <v/>
      </c>
      <c r="L5">
        <f>IF('RD Condos'!H5="2",1,0)</f>
        <v/>
      </c>
      <c r="M5">
        <f>IF('RD Condos'!H5="3",1,0)</f>
        <v/>
      </c>
      <c r="N5">
        <f>'RD Condos'!AB5</f>
        <v/>
      </c>
      <c r="P5" t="inlineStr">
        <is>
          <t>Total tagged plans</t>
        </is>
      </c>
      <c r="Q5">
        <f>SUM(Q2:Q4)</f>
        <v/>
      </c>
      <c r="S5" t="inlineStr">
        <is>
          <t>2BR wt</t>
        </is>
      </c>
      <c r="T5" s="219" t="n">
        <v>0.45</v>
      </c>
    </row>
    <row r="6" ht="15" customHeight="1">
      <c r="A6" s="25" t="inlineStr">
        <is>
          <t>Building</t>
        </is>
      </c>
      <c r="B6" s="25" t="inlineStr">
        <is>
          <t>Address</t>
        </is>
      </c>
      <c r="C6" s="25" t="inlineStr">
        <is>
          <t>Built</t>
        </is>
      </c>
      <c r="D6" s="25" t="inlineStr">
        <is>
          <t>Incl.</t>
        </is>
      </c>
      <c r="E6" s="25" t="inlineStr">
        <is>
          <t>Avg SF</t>
        </is>
      </c>
      <c r="F6" s="25" t="inlineStr">
        <is>
          <t>Avg Rent</t>
        </is>
      </c>
      <c r="G6" s="25" t="inlineStr">
        <is>
          <t>Avg $/SF</t>
        </is>
      </c>
      <c r="J6">
        <f>'RD Condos'!B6</f>
        <v/>
      </c>
      <c r="K6">
        <f>'RD Condos'!U6</f>
        <v/>
      </c>
      <c r="L6">
        <f>IF('RD Condos'!H6="2",1,0)</f>
        <v/>
      </c>
      <c r="M6">
        <f>IF('RD Condos'!H6="3",1,0)</f>
        <v/>
      </c>
      <c r="N6">
        <f>'RD Condos'!AB6</f>
        <v/>
      </c>
      <c r="P6" t="inlineStr">
        <is>
          <t>(0 ⇒ falls back to manual mix Q8:Q10)</t>
        </is>
      </c>
      <c r="S6" t="inlineStr">
        <is>
          <t>3BR wt</t>
        </is>
      </c>
      <c r="T6" s="219" t="n">
        <v>0.09</v>
      </c>
    </row>
    <row r="7" ht="15" customHeight="1">
      <c r="A7" t="inlineStr">
        <is>
          <t>The Humber</t>
        </is>
      </c>
      <c r="B7" s="60" t="inlineStr">
        <is>
          <t>10 Wilby Crescent</t>
        </is>
      </c>
      <c r="C7" t="inlineStr">
        <is>
          <t>Built 2023 (3 yrs)</t>
        </is>
      </c>
      <c r="D7" s="212">
        <f>COUNTIFS('RD Condos'!$K:$K,$A7,'RD Condos'!$A:$A,1)</f>
        <v/>
      </c>
      <c r="E7" s="32">
        <f>IFERROR(AVERAGEIFS('RD Condos'!$B:$B,'RD Condos'!$K:$K,$A7,'RD Condos'!$A:$A,1),"")</f>
        <v/>
      </c>
      <c r="F7" s="32">
        <f>IFERROR(AVERAGEIFS('RD Condos'!$AB:$AB,'RD Condos'!$K:$K,$A7,'RD Condos'!$A:$A,1),"")</f>
        <v/>
      </c>
      <c r="G7" s="220">
        <f>IFERROR(AVERAGEIFS('RD Condos'!$E:$E,'RD Condos'!$K:$K,$A7,'RD Condos'!$A:$A,1),"")</f>
        <v/>
      </c>
      <c r="J7">
        <f>'RD Condos'!B7</f>
        <v/>
      </c>
      <c r="K7">
        <f>'RD Condos'!U7</f>
        <v/>
      </c>
      <c r="L7">
        <f>IF('RD Condos'!H7="2",1,0)</f>
        <v/>
      </c>
      <c r="M7">
        <f>IF('RD Condos'!H7="3",1,0)</f>
        <v/>
      </c>
      <c r="N7">
        <f>'RD Condos'!AB7</f>
        <v/>
      </c>
      <c r="P7" t="inlineStr">
        <is>
          <t>Source</t>
        </is>
      </c>
      <c r="Q7" t="inlineStr">
        <is>
          <t>template — no subject plans tagged (SUBJECT); replace with the subject's developer suite schedule / planned mix</t>
        </is>
      </c>
    </row>
    <row r="8" ht="15" customHeight="1">
      <c r="A8" s="35" t="inlineStr">
        <is>
          <t>ALL COMPS</t>
        </is>
      </c>
      <c r="B8" s="36" t="n"/>
      <c r="C8" s="36" t="n"/>
      <c r="D8" s="214">
        <f>SUM(D7:D7)</f>
        <v/>
      </c>
      <c r="E8" s="37">
        <f>IFERROR(AVERAGEIFS('RD Condos'!$B:$B,'RD Condos'!$A:$A,1),"")</f>
        <v/>
      </c>
      <c r="F8" s="37">
        <f>IFERROR(AVERAGEIFS('RD Condos'!$AB:$AB,'RD Condos'!$A:$A,1),"")</f>
        <v/>
      </c>
      <c r="G8" s="215">
        <f>IFERROR(AVERAGEIFS('RD Condos'!$AN:$AN,'RD Condos'!$A:$A,1),"")</f>
        <v/>
      </c>
      <c r="J8">
        <f>'RD Condos'!B8</f>
        <v/>
      </c>
      <c r="K8">
        <f>'RD Condos'!U8</f>
        <v/>
      </c>
      <c r="L8">
        <f>IF('RD Condos'!H8="2",1,0)</f>
        <v/>
      </c>
      <c r="M8">
        <f>IF('RD Condos'!H8="3",1,0)</f>
        <v/>
      </c>
      <c r="N8">
        <f>'RD Condos'!AB8</f>
        <v/>
      </c>
      <c r="P8" t="inlineStr">
        <is>
          <t>1BR wt (manual)</t>
        </is>
      </c>
      <c r="Q8" s="219" t="n">
        <v>0.46</v>
      </c>
    </row>
    <row r="9" ht="15" customHeight="1">
      <c r="A9" s="24" t="inlineStr">
        <is>
          <t>By Bedroom — all comps (den-incl.)</t>
        </is>
      </c>
      <c r="J9">
        <f>'RD Condos'!B9</f>
        <v/>
      </c>
      <c r="K9">
        <f>'RD Condos'!U9</f>
        <v/>
      </c>
      <c r="L9">
        <f>IF('RD Condos'!H9="2",1,0)</f>
        <v/>
      </c>
      <c r="M9">
        <f>IF('RD Condos'!H9="3",1,0)</f>
        <v/>
      </c>
      <c r="N9">
        <f>'RD Condos'!AB9</f>
        <v/>
      </c>
      <c r="P9" t="inlineStr">
        <is>
          <t>2BR wt (manual)</t>
        </is>
      </c>
      <c r="Q9" s="219" t="n">
        <v>0.45</v>
      </c>
    </row>
    <row r="10" ht="15" customHeight="1">
      <c r="A10" s="45" t="inlineStr">
        <is>
          <t>Beds</t>
        </is>
      </c>
      <c r="B10" s="45" t="inlineStr">
        <is>
          <t>Incl.</t>
        </is>
      </c>
      <c r="C10" s="45" t="inlineStr">
        <is>
          <t>Avg SF</t>
        </is>
      </c>
      <c r="D10" s="45" t="inlineStr">
        <is>
          <t>Avg Rent</t>
        </is>
      </c>
      <c r="E10" s="45" t="inlineStr">
        <is>
          <t>Avg $/SF</t>
        </is>
      </c>
      <c r="J10">
        <f>'RD Condos'!B10</f>
        <v/>
      </c>
      <c r="K10">
        <f>'RD Condos'!U10</f>
        <v/>
      </c>
      <c r="L10">
        <f>IF('RD Condos'!H10="2",1,0)</f>
        <v/>
      </c>
      <c r="M10">
        <f>IF('RD Condos'!H10="3",1,0)</f>
        <v/>
      </c>
      <c r="N10">
        <f>'RD Condos'!AB10</f>
        <v/>
      </c>
      <c r="P10" t="inlineStr">
        <is>
          <t>3BR wt (manual)</t>
        </is>
      </c>
      <c r="Q10" s="219" t="n">
        <v>0.09</v>
      </c>
    </row>
    <row r="11" ht="15" customHeight="1">
      <c r="A11" t="inlineStr">
        <is>
          <t>1 Bed</t>
        </is>
      </c>
      <c r="B11" s="212">
        <f>COUNTIFS('RD Condos'!$H:$H,"1",'RD Condos'!$A:$A,1)</f>
        <v/>
      </c>
      <c r="C11" s="32">
        <f>IFERROR(AVERAGEIFS('RD Condos'!$B:$B,'RD Condos'!$H:$H,"1",'RD Condos'!$A:$A,1),"")</f>
        <v/>
      </c>
      <c r="D11" s="32">
        <f>IFERROR(AVERAGEIFS('RD Condos'!$AB:$AB,'RD Condos'!$H:$H,"1",'RD Condos'!$A:$A,1),"")</f>
        <v/>
      </c>
      <c r="E11" s="220">
        <f>IFERROR(AVERAGEIFS('RD Condos'!$AN:$AN,'RD Condos'!$H:$H,"1",'RD Condos'!$A:$A,1),"")</f>
        <v/>
      </c>
      <c r="J11">
        <f>'RD Condos'!B11</f>
        <v/>
      </c>
      <c r="K11">
        <f>'RD Condos'!U11</f>
        <v/>
      </c>
      <c r="L11">
        <f>IF('RD Condos'!H11="2",1,0)</f>
        <v/>
      </c>
      <c r="M11">
        <f>IF('RD Condos'!H11="3",1,0)</f>
        <v/>
      </c>
      <c r="N11">
        <f>'RD Condos'!AB11</f>
        <v/>
      </c>
    </row>
    <row r="12" ht="15" customHeight="1">
      <c r="A12" t="inlineStr">
        <is>
          <t>2 Bed</t>
        </is>
      </c>
      <c r="B12" s="212">
        <f>COUNTIFS('RD Condos'!$H:$H,"2",'RD Condos'!$A:$A,1)</f>
        <v/>
      </c>
      <c r="C12" s="32">
        <f>IFERROR(AVERAGEIFS('RD Condos'!$B:$B,'RD Condos'!$H:$H,"2",'RD Condos'!$A:$A,1),"")</f>
        <v/>
      </c>
      <c r="D12" s="32">
        <f>IFERROR(AVERAGEIFS('RD Condos'!$AB:$AB,'RD Condos'!$H:$H,"2",'RD Condos'!$A:$A,1),"")</f>
        <v/>
      </c>
      <c r="E12" s="220">
        <f>IFERROR(AVERAGEIFS('RD Condos'!$AN:$AN,'RD Condos'!$H:$H,"2",'RD Condos'!$A:$A,1),"")</f>
        <v/>
      </c>
      <c r="J12">
        <f>'RD Condos'!B12</f>
        <v/>
      </c>
      <c r="K12">
        <f>'RD Condos'!U12</f>
        <v/>
      </c>
      <c r="L12">
        <f>IF('RD Condos'!H12="2",1,0)</f>
        <v/>
      </c>
      <c r="M12">
        <f>IF('RD Condos'!H12="3",1,0)</f>
        <v/>
      </c>
      <c r="N12">
        <f>'RD Condos'!AB12</f>
        <v/>
      </c>
    </row>
    <row r="13" ht="15" customHeight="1">
      <c r="A13" t="inlineStr">
        <is>
          <t>3 Bed</t>
        </is>
      </c>
      <c r="B13" s="212">
        <f>COUNTIFS('RD Condos'!$H:$H,"3",'RD Condos'!$A:$A,1)</f>
        <v/>
      </c>
      <c r="C13" s="32">
        <f>IFERROR(AVERAGEIFS('RD Condos'!$B:$B,'RD Condos'!$H:$H,"3",'RD Condos'!$A:$A,1),"")</f>
        <v/>
      </c>
      <c r="D13" s="32">
        <f>IFERROR(AVERAGEIFS('RD Condos'!$AB:$AB,'RD Condos'!$H:$H,"3",'RD Condos'!$A:$A,1),"")</f>
        <v/>
      </c>
      <c r="E13" s="220">
        <f>IFERROR(AVERAGEIFS('RD Condos'!$AN:$AN,'RD Condos'!$H:$H,"3",'RD Condos'!$A:$A,1),"")</f>
        <v/>
      </c>
      <c r="J13">
        <f>'RD Condos'!B13</f>
        <v/>
      </c>
      <c r="K13">
        <f>'RD Condos'!U13</f>
        <v/>
      </c>
      <c r="L13">
        <f>IF('RD Condos'!H13="2",1,0)</f>
        <v/>
      </c>
      <c r="M13">
        <f>IF('RD Condos'!H13="3",1,0)</f>
        <v/>
      </c>
      <c r="N13">
        <f>'RD Condos'!AB13</f>
        <v/>
      </c>
    </row>
    <row r="14" ht="15" customHeight="1">
      <c r="J14">
        <f>'RD Condos'!B14</f>
        <v/>
      </c>
      <c r="K14">
        <f>'RD Condos'!U14</f>
        <v/>
      </c>
      <c r="L14">
        <f>IF('RD Condos'!H14="2",1,0)</f>
        <v/>
      </c>
      <c r="M14">
        <f>IF('RD Condos'!H14="3",1,0)</f>
        <v/>
      </c>
      <c r="N14">
        <f>'RD Condos'!AB14</f>
        <v/>
      </c>
    </row>
    <row r="15" ht="15" customHeight="1">
      <c r="A15" s="24" t="inlineStr">
        <is>
          <t>By Bedroom — The Humber only (new-build basis)</t>
        </is>
      </c>
      <c r="J15">
        <f>'RD Condos'!B15</f>
        <v/>
      </c>
      <c r="K15">
        <f>'RD Condos'!U15</f>
        <v/>
      </c>
      <c r="L15">
        <f>IF('RD Condos'!H15="2",1,0)</f>
        <v/>
      </c>
      <c r="M15">
        <f>IF('RD Condos'!H15="3",1,0)</f>
        <v/>
      </c>
      <c r="N15">
        <f>'RD Condos'!AB15</f>
        <v/>
      </c>
    </row>
    <row r="16" ht="15" customHeight="1">
      <c r="A16" s="31" t="inlineStr">
        <is>
          <t>Beds</t>
        </is>
      </c>
      <c r="B16" s="31" t="inlineStr">
        <is>
          <t>Incl.</t>
        </is>
      </c>
      <c r="C16" s="31" t="inlineStr">
        <is>
          <t>Avg SF</t>
        </is>
      </c>
      <c r="D16" s="31" t="inlineStr">
        <is>
          <t>Avg Rent</t>
        </is>
      </c>
      <c r="E16" s="31" t="inlineStr">
        <is>
          <t>$/SF</t>
        </is>
      </c>
      <c r="F16" s="62" t="inlineStr">
        <is>
          <t>Subj Rent (+prem)</t>
        </is>
      </c>
      <c r="J16">
        <f>'RD Condos'!B16</f>
        <v/>
      </c>
      <c r="K16">
        <f>'RD Condos'!U16</f>
        <v/>
      </c>
      <c r="L16">
        <f>IF('RD Condos'!H16="2",1,0)</f>
        <v/>
      </c>
      <c r="M16">
        <f>IF('RD Condos'!H16="3",1,0)</f>
        <v/>
      </c>
      <c r="N16">
        <f>'RD Condos'!AB16</f>
        <v/>
      </c>
    </row>
    <row r="17" ht="15" customHeight="1">
      <c r="A17" t="inlineStr">
        <is>
          <t>1 Bed</t>
        </is>
      </c>
      <c r="B17" s="212">
        <f>COUNTIFS('RD Condos'!$K:$K,"The Humber",'RD Condos'!$H:$H,"1",'RD Condos'!$A:$A,1)</f>
        <v/>
      </c>
      <c r="C17" s="32">
        <f>IFERROR(AVERAGEIFS('RD Condos'!$B:$B,'RD Condos'!$K:$K,"The Humber",'RD Condos'!$H:$H,"1",'RD Condos'!$A:$A,1),"")</f>
        <v/>
      </c>
      <c r="D17" s="32">
        <f>IFERROR(AVERAGEIFS('RD Condos'!$AB:$AB,'RD Condos'!$K:$K,"The Humber",'RD Condos'!$H:$H,"1",'RD Condos'!$A:$A,1),"")</f>
        <v/>
      </c>
      <c r="E17" s="220">
        <f>IFERROR(AVERAGEIFS('RD Condos'!$E:$E,'RD Condos'!$K:$K,"The Humber",'RD Condos'!$H:$H,"1",'RD Condos'!$A:$A,1),"")</f>
        <v/>
      </c>
      <c r="F17" s="221">
        <f>IFERROR(D17*(1+$C$4),"")</f>
        <v/>
      </c>
      <c r="J17">
        <f>'RD Condos'!B17</f>
        <v/>
      </c>
      <c r="K17">
        <f>'RD Condos'!U17</f>
        <v/>
      </c>
      <c r="L17">
        <f>IF('RD Condos'!H17="2",1,0)</f>
        <v/>
      </c>
      <c r="M17">
        <f>IF('RD Condos'!H17="3",1,0)</f>
        <v/>
      </c>
      <c r="N17">
        <f>'RD Condos'!AB17</f>
        <v/>
      </c>
    </row>
    <row r="18" ht="15" customHeight="1">
      <c r="A18" t="inlineStr">
        <is>
          <t>2 Bed</t>
        </is>
      </c>
      <c r="B18" s="212">
        <f>COUNTIFS('RD Condos'!$K:$K,"The Humber",'RD Condos'!$H:$H,"2",'RD Condos'!$A:$A,1)</f>
        <v/>
      </c>
      <c r="C18" s="32">
        <f>IFERROR(AVERAGEIFS('RD Condos'!$B:$B,'RD Condos'!$K:$K,"The Humber",'RD Condos'!$H:$H,"2",'RD Condos'!$A:$A,1),"")</f>
        <v/>
      </c>
      <c r="D18" s="32">
        <f>IFERROR(AVERAGEIFS('RD Condos'!$AB:$AB,'RD Condos'!$K:$K,"The Humber",'RD Condos'!$H:$H,"2",'RD Condos'!$A:$A,1),"")</f>
        <v/>
      </c>
      <c r="E18" s="220">
        <f>IFERROR(AVERAGEIFS('RD Condos'!$E:$E,'RD Condos'!$K:$K,"The Humber",'RD Condos'!$H:$H,"2",'RD Condos'!$A:$A,1),"")</f>
        <v/>
      </c>
      <c r="F18" s="221">
        <f>IFERROR(D18*(1+$C$4),"")</f>
        <v/>
      </c>
      <c r="J18">
        <f>'RD Condos'!B18</f>
        <v/>
      </c>
      <c r="K18">
        <f>'RD Condos'!U18</f>
        <v/>
      </c>
      <c r="L18">
        <f>IF('RD Condos'!H18="2",1,0)</f>
        <v/>
      </c>
      <c r="M18">
        <f>IF('RD Condos'!H18="3",1,0)</f>
        <v/>
      </c>
      <c r="N18">
        <f>'RD Condos'!AB18</f>
        <v/>
      </c>
    </row>
    <row r="19" ht="15" customHeight="1">
      <c r="A19" t="inlineStr">
        <is>
          <t>3 Bed</t>
        </is>
      </c>
      <c r="B19" s="212">
        <f>COUNTIFS('RD Condos'!$K:$K,"The Humber",'RD Condos'!$H:$H,"3",'RD Condos'!$A:$A,1)</f>
        <v/>
      </c>
      <c r="C19" s="32">
        <f>IFERROR(AVERAGEIFS('RD Condos'!$B:$B,'RD Condos'!$K:$K,"The Humber",'RD Condos'!$H:$H,"3",'RD Condos'!$A:$A,1),"")</f>
        <v/>
      </c>
      <c r="D19" s="32">
        <f>IFERROR(AVERAGEIFS('RD Condos'!$AB:$AB,'RD Condos'!$K:$K,"The Humber",'RD Condos'!$H:$H,"3",'RD Condos'!$A:$A,1),"")</f>
        <v/>
      </c>
      <c r="E19" s="220">
        <f>IFERROR(AVERAGEIFS('RD Condos'!$E:$E,'RD Condos'!$K:$K,"The Humber",'RD Condos'!$H:$H,"3",'RD Condos'!$A:$A,1),"")</f>
        <v/>
      </c>
      <c r="F19" s="221">
        <f>IFERROR(D19*(1+$C$4),"")</f>
        <v/>
      </c>
      <c r="J19">
        <f>'RD Condos'!B19</f>
        <v/>
      </c>
      <c r="K19">
        <f>'RD Condos'!U19</f>
        <v/>
      </c>
      <c r="L19">
        <f>IF('RD Condos'!H19="2",1,0)</f>
        <v/>
      </c>
      <c r="M19">
        <f>IF('RD Condos'!H19="3",1,0)</f>
        <v/>
      </c>
      <c r="N19">
        <f>'RD Condos'!AB19</f>
        <v/>
      </c>
    </row>
    <row r="20" ht="15" customHeight="1">
      <c r="J20">
        <f>'RD Condos'!B20</f>
        <v/>
      </c>
      <c r="K20">
        <f>'RD Condos'!U20</f>
        <v/>
      </c>
      <c r="L20">
        <f>IF('RD Condos'!H20="2",1,0)</f>
        <v/>
      </c>
      <c r="M20">
        <f>IF('RD Condos'!H20="3",1,0)</f>
        <v/>
      </c>
      <c r="N20">
        <f>'RD Condos'!AB20</f>
        <v/>
      </c>
    </row>
    <row r="21" ht="15" customHeight="1">
      <c r="A21" s="47" t="inlineStr">
        <is>
          <t>SUBJECT RECOMMENDATION (comp $/SF + premium)</t>
        </is>
      </c>
      <c r="J21">
        <f>'RD Condos'!B21</f>
        <v/>
      </c>
      <c r="K21">
        <f>'RD Condos'!U21</f>
        <v/>
      </c>
      <c r="L21">
        <f>IF('RD Condos'!H21="2",1,0)</f>
        <v/>
      </c>
      <c r="M21">
        <f>IF('RD Condos'!H21="3",1,0)</f>
        <v/>
      </c>
      <c r="N21">
        <f>'RD Condos'!AB21</f>
        <v/>
      </c>
    </row>
    <row r="22" ht="15" customHeight="1">
      <c r="A22" t="inlineStr">
        <is>
          <t>Weighted comp $/SF — Humber basis</t>
        </is>
      </c>
      <c r="C22" s="220">
        <f>E17*$H$2+E18*$H$3+E19*$H$4</f>
        <v/>
      </c>
      <c r="J22">
        <f>'RD Condos'!B22</f>
        <v/>
      </c>
      <c r="K22">
        <f>'RD Condos'!U22</f>
        <v/>
      </c>
      <c r="L22">
        <f>IF('RD Condos'!H22="2",1,0)</f>
        <v/>
      </c>
      <c r="M22">
        <f>IF('RD Condos'!H22="3",1,0)</f>
        <v/>
      </c>
      <c r="N22">
        <f>'RD Condos'!AB22</f>
        <v/>
      </c>
    </row>
    <row r="23" ht="15" customHeight="1">
      <c r="A23" t="inlineStr">
        <is>
          <t>Weighted comp $/SF — all-comp basis</t>
        </is>
      </c>
      <c r="C23" s="220">
        <f>E11*$H$2+E12*$H$3+E13*$H$4</f>
        <v/>
      </c>
      <c r="J23">
        <f>'RD Condos'!B23</f>
        <v/>
      </c>
      <c r="K23">
        <f>'RD Condos'!U23</f>
        <v/>
      </c>
      <c r="L23">
        <f>IF('RD Condos'!H23="2",1,0)</f>
        <v/>
      </c>
      <c r="M23">
        <f>IF('RD Condos'!H23="3",1,0)</f>
        <v/>
      </c>
      <c r="N23">
        <f>'RD Condos'!AB23</f>
        <v/>
      </c>
    </row>
    <row r="24" ht="15" customHeight="1">
      <c r="A24" t="inlineStr">
        <is>
          <t>Subject rental premium</t>
        </is>
      </c>
      <c r="C24" s="48">
        <f>C4</f>
        <v/>
      </c>
      <c r="J24">
        <f>'RD Condos'!B24</f>
        <v/>
      </c>
      <c r="K24">
        <f>'RD Condos'!U24</f>
        <v/>
      </c>
      <c r="L24">
        <f>IF('RD Condos'!H24="2",1,0)</f>
        <v/>
      </c>
      <c r="M24">
        <f>IF('RD Condos'!H24="3",1,0)</f>
        <v/>
      </c>
      <c r="N24">
        <f>'RD Condos'!AB24</f>
        <v/>
      </c>
    </row>
    <row r="25" ht="15" customHeight="1">
      <c r="A25" s="24" t="inlineStr">
        <is>
          <t>RECOMMENDED subject $/SF (Humber + premium)</t>
        </is>
      </c>
      <c r="C25" s="222">
        <f>C22*(1+C4)</f>
        <v/>
      </c>
      <c r="J25">
        <f>'RD Condos'!B25</f>
        <v/>
      </c>
      <c r="K25">
        <f>'RD Condos'!U25</f>
        <v/>
      </c>
      <c r="L25">
        <f>IF('RD Condos'!H25="2",1,0)</f>
        <v/>
      </c>
      <c r="M25">
        <f>IF('RD Condos'!H25="3",1,0)</f>
        <v/>
      </c>
      <c r="N25">
        <f>'RD Condos'!AB25</f>
        <v/>
      </c>
    </row>
    <row r="26" ht="15" customHeight="1">
      <c r="A26" t="inlineStr">
        <is>
          <t>Subject $/SF (all-comp + premium)</t>
        </is>
      </c>
      <c r="C26" s="220">
        <f>C23*(1+C4)</f>
        <v/>
      </c>
      <c r="J26">
        <f>'RD Condos'!B26</f>
        <v/>
      </c>
      <c r="K26">
        <f>'RD Condos'!U26</f>
        <v/>
      </c>
      <c r="L26">
        <f>IF('RD Condos'!H26="2",1,0)</f>
        <v/>
      </c>
      <c r="M26">
        <f>IF('RD Condos'!H26="3",1,0)</f>
        <v/>
      </c>
      <c r="N26">
        <f>'RD Condos'!AB26</f>
        <v/>
      </c>
    </row>
    <row r="27" ht="15" customHeight="1">
      <c r="A27" t="inlineStr">
        <is>
          <t>Prior model subject (Data_Old, 2024-anchored)</t>
        </is>
      </c>
      <c r="C27" s="223" t="n">
        <v>3.9</v>
      </c>
    </row>
    <row r="28" ht="15" customHeight="1">
      <c r="A28" t="inlineStr">
        <is>
          <t>Residual vs prior (market timing etc.)</t>
        </is>
      </c>
      <c r="C28" s="48">
        <f>C25/C27-1</f>
        <v/>
      </c>
    </row>
    <row r="29" ht="15" customHeight="1"/>
    <row r="30" ht="15" customHeight="1">
      <c r="A30" s="190" t="inlineStr">
        <is>
          <t>PREMIUM BASIS (live) — vintage $/SF spread anchoring the subject premium (C4)</t>
        </is>
      </c>
    </row>
    <row r="31" ht="15" customHeight="1">
      <c r="A31" t="inlineStr">
        <is>
          <t>Metric</t>
        </is>
      </c>
      <c r="C31" t="inlineStr">
        <is>
          <t>$/SF</t>
        </is>
      </c>
    </row>
    <row r="32">
      <c r="A32" t="inlineStr">
        <is>
          <t>Newest comp avg $/SF</t>
        </is>
      </c>
      <c r="C32" s="216">
        <f>IFERROR(AVERAGEIFS('RD Condos'!$E:$E,'RD Condos'!$K:$K,"The Humber",'RD Condos'!$A:$A,1),"")</f>
        <v/>
      </c>
      <c r="D32" t="inlineStr">
        <is>
          <t>Single-comp set → newest = oldest = the only comp; vintage spread is 0% here. Replace per subject.</t>
        </is>
      </c>
    </row>
    <row r="33">
      <c r="A33" t="inlineStr">
        <is>
          <t>All-comp avg $/SF</t>
        </is>
      </c>
      <c r="C33" s="216">
        <f>IFERROR(AVERAGEIFS('RD Condos'!$AN:$AN,'RD Condos'!$A:$A,1),"")</f>
        <v/>
      </c>
    </row>
    <row r="34">
      <c r="A34" t="inlineStr">
        <is>
          <t>Oldest comp avg $/SF</t>
        </is>
      </c>
      <c r="C34" s="216">
        <f>IFERROR(AVERAGEIFS('RD Condos'!$E:$E,'RD Condos'!$K:$K,"The Humber",'RD Condos'!$A:$A,1),"")</f>
        <v/>
      </c>
    </row>
    <row r="35">
      <c r="A35" t="inlineStr">
        <is>
          <t>Observed vintage premium — newest ÷ all-comp − 1</t>
        </is>
      </c>
      <c r="C35" s="200">
        <f>IFERROR(C32/C33-1,"")</f>
        <v/>
      </c>
    </row>
    <row r="36">
      <c r="A36" t="inlineStr">
        <is>
          <t>Observed vintage premium — newest ÷ oldest − 1</t>
        </is>
      </c>
      <c r="C36" s="200">
        <f>IFERROR(C32/C34-1,"")</f>
        <v/>
      </c>
    </row>
    <row r="37">
      <c r="A37" t="inlineStr">
        <is>
          <t>Subject premium C4 (sits within observed range)</t>
        </is>
      </c>
      <c r="C37" s="200">
        <f>C4</f>
        <v/>
      </c>
    </row>
    <row r="39">
      <c r="A39" s="190" t="inlineStr">
        <is>
          <t>MIX BASIS (live) — comp-set bed distribution vs the estimated subject mix (x-check on H2:H4)</t>
        </is>
      </c>
    </row>
    <row r="40">
      <c r="A40" t="inlineStr">
        <is>
          <t>Bucket</t>
        </is>
      </c>
      <c r="B40" t="inlineStr">
        <is>
          <t>Comp #</t>
        </is>
      </c>
      <c r="C40" t="inlineStr">
        <is>
          <t>Comp share</t>
        </is>
      </c>
      <c r="D40" t="inlineStr">
        <is>
          <t>Subject est.</t>
        </is>
      </c>
    </row>
    <row r="41">
      <c r="A41" t="inlineStr">
        <is>
          <t>1-Bed (H=1, den-incl)</t>
        </is>
      </c>
      <c r="B41" s="212">
        <f>COUNTIFS('RD Condos'!$H:$H,"1",'RD Condos'!$A:$A,1)</f>
        <v/>
      </c>
      <c r="C41" s="200">
        <f>IFERROR(B41/$B$44,"")</f>
        <v/>
      </c>
      <c r="D41" s="200">
        <f>H2</f>
        <v/>
      </c>
    </row>
    <row r="42">
      <c r="A42" t="inlineStr">
        <is>
          <t>2-Bed (H=2, incl 2+den)</t>
        </is>
      </c>
      <c r="B42" s="212">
        <f>COUNTIFS('RD Condos'!$H:$H,"2",'RD Condos'!$A:$A,1)</f>
        <v/>
      </c>
      <c r="C42" s="200">
        <f>IFERROR(B42/$B$44,"")</f>
        <v/>
      </c>
      <c r="D42" s="200">
        <f>H3</f>
        <v/>
      </c>
    </row>
    <row r="43">
      <c r="A43" t="inlineStr">
        <is>
          <t>3-Bed (H=3)</t>
        </is>
      </c>
      <c r="B43" s="212">
        <f>COUNTIFS('RD Condos'!$H:$H,"3",'RD Condos'!$A:$A,1)</f>
        <v/>
      </c>
      <c r="C43" s="200">
        <f>IFERROR(B43/$B$44,"")</f>
        <v/>
      </c>
      <c r="D43" s="200">
        <f>H4</f>
        <v/>
      </c>
    </row>
    <row r="44">
      <c r="A44" t="inlineStr">
        <is>
          <t>Total included</t>
        </is>
      </c>
      <c r="B44" s="212">
        <f>B41+B42+B43</f>
        <v/>
      </c>
    </row>
    <row r="45">
      <c r="A45" t="inlineStr">
        <is>
          <t>1+Den share (Q=1+1)</t>
        </is>
      </c>
      <c r="B45" s="212">
        <f>COUNTIFS('RD Condos'!$Q:$Q,"1+1",'RD Condos'!$A:$A,1)</f>
        <v/>
      </c>
      <c r="C45" s="200">
        <f>IFERROR(B45/$B$44,"")</f>
        <v/>
      </c>
      <c r="D45" s="200">
        <f>T4</f>
        <v/>
      </c>
    </row>
    <row r="47">
      <c r="A47" s="190" t="inlineStr">
        <is>
          <t>APARTMENT PREMIUM BASIS (C3) — N/A this set</t>
        </is>
      </c>
    </row>
    <row r="48">
      <c r="A48" t="inlineStr">
        <is>
          <t>No purpose-built apartment comps selected, so C3 is unused (0). If apartment comps are added, derive C3 from the condo÷apartment $/SF spread over comparable vintages, or cite a named market study — never a bare %.</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AS31"/>
  <sheetViews>
    <sheetView showGridLines="0" zoomScaleNormal="100" workbookViewId="0">
      <pane ySplit="1" topLeftCell="A4" activePane="bottomLeft" state="frozen"/>
      <selection pane="bottomLeft" activeCell="D1" sqref="D1"/>
    </sheetView>
  </sheetViews>
  <sheetFormatPr baseColWidth="8" defaultColWidth="8.7109375" defaultRowHeight="12.75"/>
  <cols>
    <col width="7" customWidth="1" min="2" max="3"/>
    <col width="8" customWidth="1" min="5" max="5"/>
    <col width="9" customWidth="1" min="6" max="6"/>
    <col width="11" customWidth="1" min="10" max="10"/>
    <col width="16" customWidth="1" min="11" max="11"/>
    <col width="17" customWidth="1" min="12" max="12"/>
    <col width="18" customWidth="1" min="13" max="14"/>
    <col width="8" customWidth="1" min="15" max="15"/>
    <col width="22" customWidth="1" min="16" max="16"/>
    <col width="6" customWidth="1" min="17" max="18"/>
    <col width="15.28515625" bestFit="1" customWidth="1" min="19" max="19"/>
    <col width="13" customWidth="1" min="20" max="20"/>
    <col width="11.85546875" bestFit="1" customWidth="1" min="21" max="21"/>
    <col width="8" customWidth="1" min="25" max="25"/>
    <col width="16" customWidth="1" min="26" max="26"/>
    <col width="13.7109375" bestFit="1" customWidth="1" min="27" max="27"/>
    <col width="10" customWidth="1" min="28" max="29"/>
    <col width="8" customWidth="1" min="30" max="31"/>
    <col width="28" customWidth="1" min="37" max="37"/>
    <col width="38" customWidth="1" min="38" max="38"/>
    <col width="12" customWidth="1" min="39" max="40"/>
  </cols>
  <sheetData>
    <row r="1" ht="27.75" customHeight="1">
      <c r="A1" s="31" t="inlineStr">
        <is>
          <t>Include</t>
        </is>
      </c>
      <c r="B1" s="31" t="inlineStr">
        <is>
          <t>Sq Ft.</t>
        </is>
      </c>
      <c r="C1" s="31" t="inlineStr">
        <is>
          <t>Rent</t>
        </is>
      </c>
      <c r="D1" s="31" t="inlineStr">
        <is>
          <t>Adj. Rent</t>
        </is>
      </c>
      <c r="E1" s="31" t="inlineStr">
        <is>
          <t>$/sq ft</t>
        </is>
      </c>
      <c r="F1" s="31" t="inlineStr">
        <is>
          <t>Adj. $/sq ft</t>
        </is>
      </c>
      <c r="G1" s="31" t="inlineStr">
        <is>
          <t>Adj BD</t>
        </is>
      </c>
      <c r="H1" s="31" t="inlineStr">
        <is>
          <t>Beds Number</t>
        </is>
      </c>
      <c r="I1" s="31" t="inlineStr">
        <is>
          <t>Den</t>
        </is>
      </c>
      <c r="J1" s="31" t="inlineStr">
        <is>
          <t>Date</t>
        </is>
      </c>
      <c r="K1" s="31" t="inlineStr">
        <is>
          <t>Building Name</t>
        </is>
      </c>
      <c r="L1" s="31" t="inlineStr">
        <is>
          <t>Building Address</t>
        </is>
      </c>
      <c r="M1" s="31" t="inlineStr">
        <is>
          <t>Building City</t>
        </is>
      </c>
      <c r="N1" s="31" t="inlineStr">
        <is>
          <t>Developer</t>
        </is>
      </c>
      <c r="O1" s="31" t="inlineStr">
        <is>
          <t>Unit #</t>
        </is>
      </c>
      <c r="P1" s="31" t="inlineStr">
        <is>
          <t>Unit Address</t>
        </is>
      </c>
      <c r="Q1" s="31" t="inlineStr">
        <is>
          <t>Beds</t>
        </is>
      </c>
      <c r="R1" s="31" t="inlineStr">
        <is>
          <t>Baths</t>
        </is>
      </c>
      <c r="S1" s="31" t="inlineStr">
        <is>
          <t>Sqft (Condos.ca)</t>
        </is>
      </c>
      <c r="T1" s="31" t="inlineStr">
        <is>
          <t>MLS Size Range</t>
        </is>
      </c>
      <c r="U1" s="31" t="inlineStr">
        <is>
          <t># Parking</t>
        </is>
      </c>
      <c r="V1" s="31" t="inlineStr">
        <is>
          <t>Parking Included</t>
        </is>
      </c>
      <c r="W1" s="31" t="inlineStr">
        <is>
          <t>Locker</t>
        </is>
      </c>
      <c r="X1" s="31" t="inlineStr">
        <is>
          <t>Outdoor Space</t>
        </is>
      </c>
      <c r="Y1" s="31" t="inlineStr">
        <is>
          <t>Exposure</t>
        </is>
      </c>
      <c r="Z1" s="31" t="inlineStr">
        <is>
          <t>Building Age</t>
        </is>
      </c>
      <c r="AA1" s="31" t="inlineStr">
        <is>
          <t>Building Amenities</t>
        </is>
      </c>
      <c r="AB1" s="31" t="inlineStr">
        <is>
          <t>Leased Rent ($)</t>
        </is>
      </c>
      <c r="AC1" s="31" t="inlineStr">
        <is>
          <t>Listed Rent ($)</t>
        </is>
      </c>
      <c r="AD1" s="31" t="inlineStr">
        <is>
          <t>PSF (Calculated)</t>
        </is>
      </c>
      <c r="AE1" s="31" t="inlineStr">
        <is>
          <t>PSF (Listing)</t>
        </is>
      </c>
      <c r="AF1" s="31" t="inlineStr">
        <is>
          <t>Furnished</t>
        </is>
      </c>
      <c r="AG1" s="31" t="inlineStr">
        <is>
          <t>Hydro Included</t>
        </is>
      </c>
      <c r="AH1" s="31" t="inlineStr">
        <is>
          <t>Water Included</t>
        </is>
      </c>
      <c r="AI1" s="31" t="inlineStr">
        <is>
          <t>Lease Date</t>
        </is>
      </c>
      <c r="AJ1" s="31" t="inlineStr">
        <is>
          <t>MLS#</t>
        </is>
      </c>
      <c r="AK1" s="31" t="inlineStr">
        <is>
          <t>Listing URL</t>
        </is>
      </c>
      <c r="AL1" s="31" t="inlineStr">
        <is>
          <t>Description</t>
        </is>
      </c>
      <c r="AM1" s="31" t="inlineStr">
        <is>
          <t>Product Type</t>
        </is>
      </c>
      <c r="AN1" s="64" t="inlineStr">
        <is>
          <t>$/SF (Product-Adj)</t>
        </is>
      </c>
      <c r="AO1" s="190" t="inlineStr">
        <is>
          <t>Date Scraped</t>
        </is>
      </c>
      <c r="AP1" s="190" t="inlineStr">
        <is>
          <t>SF Verification Status</t>
        </is>
      </c>
      <c r="AQ1" s="190" t="inlineStr">
        <is>
          <t>SF Source Type</t>
        </is>
      </c>
      <c r="AR1" s="190" t="inlineStr">
        <is>
          <t>SF Source / URL</t>
        </is>
      </c>
      <c r="AS1" s="190" t="inlineStr">
        <is>
          <t>SF Explanation / Not Validated Reason</t>
        </is>
      </c>
    </row>
    <row r="2" ht="15" customHeight="1">
      <c r="A2">
        <f>IF(AND(ISNUMBER(B2),B2&gt;0,ISNUMBER(AB2),AB2&gt;0,J2&gt;=Data_Summary!$C$1),1,0)</f>
        <v/>
      </c>
      <c r="B2" s="51" t="n">
        <v>694</v>
      </c>
      <c r="C2" s="26">
        <f>IF(ISNUMBER(AB2),AB2,"")</f>
        <v/>
      </c>
      <c r="D2" s="26">
        <f>IF(ISNUMBER(C2),C2-U2*Data_Summary!$C$2,"")</f>
        <v/>
      </c>
      <c r="E2" s="224">
        <f>IFERROR(C2/B2,"")</f>
        <v/>
      </c>
      <c r="F2" s="220">
        <f>IFERROR(D2/B2,"")</f>
        <v/>
      </c>
      <c r="G2">
        <f>Q2</f>
        <v/>
      </c>
      <c r="H2">
        <f>IFERROR(LEFT(G2,1),"")</f>
        <v/>
      </c>
      <c r="I2">
        <f>IF(LEN(G2)&gt;1,1,0)</f>
        <v/>
      </c>
      <c r="J2" s="225" t="n">
        <v>46136</v>
      </c>
      <c r="K2" t="inlineStr">
        <is>
          <t>The Humber</t>
        </is>
      </c>
      <c r="L2" t="inlineStr">
        <is>
          <t>10 Wilby Crescent</t>
        </is>
      </c>
      <c r="M2" t="inlineStr">
        <is>
          <t>Toronto (Weston)</t>
        </is>
      </c>
      <c r="N2" t="inlineStr">
        <is>
          <t>Options for Homes</t>
        </is>
      </c>
      <c r="O2" t="inlineStr">
        <is>
          <t>1602</t>
        </is>
      </c>
      <c r="P2" t="inlineStr">
        <is>
          <t>1602 - 10 Wilby Crescent</t>
        </is>
      </c>
      <c r="Q2" t="inlineStr">
        <is>
          <t>2</t>
        </is>
      </c>
      <c r="R2" t="n">
        <v>2</v>
      </c>
      <c r="S2" s="32" t="n">
        <v>694</v>
      </c>
      <c r="T2" t="inlineStr">
        <is>
          <t>600-699 sqft</t>
        </is>
      </c>
      <c r="U2" t="n">
        <v>1</v>
      </c>
      <c r="V2" t="inlineStr">
        <is>
          <t>Yes</t>
        </is>
      </c>
      <c r="W2" t="inlineStr">
        <is>
          <t>Ensuite</t>
        </is>
      </c>
      <c r="X2" t="inlineStr">
        <is>
          <t>Balcony, Patio</t>
        </is>
      </c>
      <c r="Y2" t="inlineStr">
        <is>
          <t>W</t>
        </is>
      </c>
      <c r="Z2" t="inlineStr">
        <is>
          <t>Built 2023 (3 yrs)</t>
        </is>
      </c>
      <c r="AA2" t="inlineStr">
        <is>
          <t>Gym, Party Room, Rooftop Deck, Visitor Parking, BBQ, Bike Storage, Concierge, Coin Laundry</t>
        </is>
      </c>
      <c r="AB2" s="54" t="n">
        <v>2450</v>
      </c>
      <c r="AC2" s="54" t="n">
        <v>2450</v>
      </c>
      <c r="AD2" s="220">
        <f>IFERROR(AB2/B2,"")</f>
        <v/>
      </c>
      <c r="AE2" s="220">
        <f>IFERROR(AC2/B2,"")</f>
        <v/>
      </c>
      <c r="AF2" t="inlineStr">
        <is>
          <t>No</t>
        </is>
      </c>
      <c r="AG2" t="inlineStr">
        <is>
          <t>No</t>
        </is>
      </c>
      <c r="AH2" t="inlineStr">
        <is>
          <t>No</t>
        </is>
      </c>
      <c r="AI2" s="226" t="inlineStr">
        <is>
          <t>2026-04-24</t>
        </is>
      </c>
      <c r="AJ2" t="inlineStr">
        <is>
          <t>W12626670</t>
        </is>
      </c>
      <c r="AK2" t="inlineStr">
        <is>
          <t>https://condos.ca/toronto/the-humber-10-wilby-crescent-10-wilby-cres/unit-1602-W12626670</t>
        </is>
      </c>
      <c r="AL2" t="inlineStr">
        <is>
          <t>Leased comp. SF: Verified (condos.ca per-unit).</t>
        </is>
      </c>
      <c r="AM2" t="inlineStr">
        <is>
          <t>Condo</t>
        </is>
      </c>
      <c r="AN2" s="227">
        <f>IFERROR(E2*(1+IF(AM2="Apartment",Data_Summary!$C$3,0)),"")</f>
        <v/>
      </c>
      <c r="AO2" s="226" t="n"/>
      <c r="AP2" t="inlineStr">
        <is>
          <t>Verified registered area</t>
        </is>
      </c>
      <c r="AQ2" t="inlineStr">
        <is>
          <t>condos.ca registered area</t>
        </is>
      </c>
      <c r="AS2" t="inlineStr">
        <is>
          <t>condos.ca per-unit registered area; used in $/SF. (template row)</t>
        </is>
      </c>
    </row>
    <row r="3" ht="15" customHeight="1">
      <c r="A3">
        <f>IF(AND(ISNUMBER(B3),B3&gt;0,ISNUMBER(AB3),AB3&gt;0,J3&gt;=Data_Summary!$C$1),1,0)</f>
        <v/>
      </c>
      <c r="B3" s="51" t="n">
        <v>694</v>
      </c>
      <c r="C3" s="26">
        <f>IF(ISNUMBER(AB3),AB3,"")</f>
        <v/>
      </c>
      <c r="D3" s="26">
        <f>IF(ISNUMBER(C3),C3-U3*Data_Summary!$C$2,"")</f>
        <v/>
      </c>
      <c r="E3" s="224">
        <f>IFERROR(C3/B3,"")</f>
        <v/>
      </c>
      <c r="F3" s="220">
        <f>IFERROR(D3/B3,"")</f>
        <v/>
      </c>
      <c r="G3">
        <f>Q3</f>
        <v/>
      </c>
      <c r="H3">
        <f>IFERROR(LEFT(G3,1),"")</f>
        <v/>
      </c>
      <c r="I3">
        <f>IF(LEN(G3)&gt;1,1,0)</f>
        <v/>
      </c>
      <c r="J3" s="225" t="n">
        <v>46134</v>
      </c>
      <c r="K3" t="inlineStr">
        <is>
          <t>The Humber</t>
        </is>
      </c>
      <c r="L3" t="inlineStr">
        <is>
          <t>10 Wilby Crescent</t>
        </is>
      </c>
      <c r="M3" t="inlineStr">
        <is>
          <t>Toronto (Weston)</t>
        </is>
      </c>
      <c r="N3" t="inlineStr">
        <is>
          <t>Options for Homes</t>
        </is>
      </c>
      <c r="O3" t="inlineStr">
        <is>
          <t>409</t>
        </is>
      </c>
      <c r="P3" t="inlineStr">
        <is>
          <t>409 - 10 Wilby Crescent</t>
        </is>
      </c>
      <c r="Q3" t="inlineStr">
        <is>
          <t>1+1</t>
        </is>
      </c>
      <c r="R3" t="n">
        <v>1</v>
      </c>
      <c r="S3" s="32" t="n">
        <v>694</v>
      </c>
      <c r="T3" t="inlineStr">
        <is>
          <t>600-699 sqft</t>
        </is>
      </c>
      <c r="U3" t="n">
        <v>0</v>
      </c>
      <c r="V3" t="inlineStr">
        <is>
          <t>No</t>
        </is>
      </c>
      <c r="W3" t="inlineStr">
        <is>
          <t>None</t>
        </is>
      </c>
      <c r="X3" t="inlineStr">
        <is>
          <t>Balcony, Patio</t>
        </is>
      </c>
      <c r="Y3" t="inlineStr">
        <is>
          <t>S</t>
        </is>
      </c>
      <c r="Z3" t="inlineStr">
        <is>
          <t>Built 2023 (3 yrs)</t>
        </is>
      </c>
      <c r="AA3" t="inlineStr">
        <is>
          <t>Gym, Party Room, Rooftop Deck, Visitor Parking, BBQ, Bike Storage, Concierge, Coin Laundry</t>
        </is>
      </c>
      <c r="AB3" s="54" t="n">
        <v>2000</v>
      </c>
      <c r="AC3" s="54" t="n">
        <v>2050</v>
      </c>
      <c r="AD3" s="220">
        <f>IFERROR(AB3/B3,"")</f>
        <v/>
      </c>
      <c r="AE3" s="220">
        <f>IFERROR(AC3/B3,"")</f>
        <v/>
      </c>
      <c r="AF3" t="inlineStr">
        <is>
          <t>No</t>
        </is>
      </c>
      <c r="AG3" t="inlineStr">
        <is>
          <t>No</t>
        </is>
      </c>
      <c r="AH3" t="inlineStr">
        <is>
          <t>No</t>
        </is>
      </c>
      <c r="AI3" s="226" t="inlineStr">
        <is>
          <t>2026-04-22</t>
        </is>
      </c>
      <c r="AJ3" t="inlineStr">
        <is>
          <t>W12873004</t>
        </is>
      </c>
      <c r="AK3" t="inlineStr">
        <is>
          <t>https://condos.ca/toronto/the-humber-10-wilby-crescent-10-wilby-cres/unit-409-W12873004</t>
        </is>
      </c>
      <c r="AL3" t="inlineStr">
        <is>
          <t>Leased comp. SF: Verified (condos.ca per-unit).</t>
        </is>
      </c>
      <c r="AM3" t="inlineStr">
        <is>
          <t>Condo</t>
        </is>
      </c>
      <c r="AN3" s="227">
        <f>IFERROR(E3*(1+IF(AM3="Apartment",Data_Summary!$C$3,0)),"")</f>
        <v/>
      </c>
      <c r="AO3" s="226" t="n"/>
      <c r="AP3" t="inlineStr">
        <is>
          <t>Verified registered area</t>
        </is>
      </c>
      <c r="AQ3" t="inlineStr">
        <is>
          <t>condos.ca registered area</t>
        </is>
      </c>
      <c r="AS3" t="inlineStr">
        <is>
          <t>condos.ca per-unit registered area; used in $/SF. (template row)</t>
        </is>
      </c>
    </row>
    <row r="4" ht="15" customHeight="1">
      <c r="A4">
        <f>IF(AND(ISNUMBER(B4),B4&gt;0,ISNUMBER(AB4),AB4&gt;0,J4&gt;=Data_Summary!$C$1),1,0)</f>
        <v/>
      </c>
      <c r="B4" s="51" t="n">
        <v>715</v>
      </c>
      <c r="C4" s="26">
        <f>IF(ISNUMBER(AB4),AB4,"")</f>
        <v/>
      </c>
      <c r="D4" s="26">
        <f>IF(ISNUMBER(C4),C4-U4*Data_Summary!$C$2,"")</f>
        <v/>
      </c>
      <c r="E4" s="224">
        <f>IFERROR(C4/B4,"")</f>
        <v/>
      </c>
      <c r="F4" s="220">
        <f>IFERROR(D4/B4,"")</f>
        <v/>
      </c>
      <c r="G4">
        <f>Q4</f>
        <v/>
      </c>
      <c r="H4">
        <f>IFERROR(LEFT(G4,1),"")</f>
        <v/>
      </c>
      <c r="I4">
        <f>IF(LEN(G4)&gt;1,1,0)</f>
        <v/>
      </c>
      <c r="J4" s="225" t="n">
        <v>46133</v>
      </c>
      <c r="K4" t="inlineStr">
        <is>
          <t>The Humber</t>
        </is>
      </c>
      <c r="L4" t="inlineStr">
        <is>
          <t>10 Wilby Crescent</t>
        </is>
      </c>
      <c r="M4" t="inlineStr">
        <is>
          <t>Toronto (Weston)</t>
        </is>
      </c>
      <c r="N4" t="inlineStr">
        <is>
          <t>Options for Homes</t>
        </is>
      </c>
      <c r="O4" t="inlineStr">
        <is>
          <t>1807</t>
        </is>
      </c>
      <c r="P4" t="inlineStr">
        <is>
          <t>1807 - 10 Wilby Crescent</t>
        </is>
      </c>
      <c r="Q4" t="inlineStr">
        <is>
          <t>2</t>
        </is>
      </c>
      <c r="R4" t="n">
        <v>2</v>
      </c>
      <c r="S4" s="32" t="n">
        <v>715</v>
      </c>
      <c r="T4" t="inlineStr">
        <is>
          <t>700-799 sqft</t>
        </is>
      </c>
      <c r="U4" t="n">
        <v>1</v>
      </c>
      <c r="V4" t="inlineStr">
        <is>
          <t>Yes</t>
        </is>
      </c>
      <c r="W4" t="inlineStr">
        <is>
          <t>Owned</t>
        </is>
      </c>
      <c r="X4" t="inlineStr">
        <is>
          <t>Balcony, Patio</t>
        </is>
      </c>
      <c r="Y4" t="inlineStr">
        <is>
          <t>NE</t>
        </is>
      </c>
      <c r="Z4" t="inlineStr">
        <is>
          <t>Built 2023 (3 yrs)</t>
        </is>
      </c>
      <c r="AA4" t="inlineStr">
        <is>
          <t>Gym, Party Room, Rooftop Deck, Visitor Parking, BBQ, Bike Storage, Concierge, Coin Laundry</t>
        </is>
      </c>
      <c r="AB4" s="54" t="n">
        <v>2350</v>
      </c>
      <c r="AC4" s="54" t="n">
        <v>2400</v>
      </c>
      <c r="AD4" s="220">
        <f>IFERROR(AB4/B4,"")</f>
        <v/>
      </c>
      <c r="AE4" s="220">
        <f>IFERROR(AC4/B4,"")</f>
        <v/>
      </c>
      <c r="AF4" t="inlineStr">
        <is>
          <t>No</t>
        </is>
      </c>
      <c r="AG4" t="inlineStr">
        <is>
          <t>No</t>
        </is>
      </c>
      <c r="AH4" t="inlineStr">
        <is>
          <t>No</t>
        </is>
      </c>
      <c r="AI4" s="226" t="inlineStr">
        <is>
          <t>2026-04-21</t>
        </is>
      </c>
      <c r="AJ4" t="inlineStr">
        <is>
          <t>W12930642</t>
        </is>
      </c>
      <c r="AK4" t="inlineStr">
        <is>
          <t>https://condos.ca/toronto/the-humber-10-wilby-crescent-10-wilby-cres/unit-1807-W12930642</t>
        </is>
      </c>
      <c r="AL4" t="inlineStr">
        <is>
          <t>Leased comp. SF: Verified (condos.ca per-unit).</t>
        </is>
      </c>
      <c r="AM4" t="inlineStr">
        <is>
          <t>Condo</t>
        </is>
      </c>
      <c r="AN4" s="227">
        <f>IFERROR(E4*(1+IF(AM4="Apartment",Data_Summary!$C$3,0)),"")</f>
        <v/>
      </c>
      <c r="AO4" s="226" t="n"/>
      <c r="AP4" t="inlineStr">
        <is>
          <t>Verified registered area</t>
        </is>
      </c>
      <c r="AQ4" t="inlineStr">
        <is>
          <t>condos.ca registered area</t>
        </is>
      </c>
      <c r="AS4" t="inlineStr">
        <is>
          <t>condos.ca per-unit registered area; used in $/SF. (template row)</t>
        </is>
      </c>
    </row>
    <row r="5" ht="15" customHeight="1">
      <c r="A5">
        <f>IF(AND(ISNUMBER(B5),B5&gt;0,ISNUMBER(AB5),AB5&gt;0,J5&gt;=Data_Summary!$C$1),1,0)</f>
        <v/>
      </c>
      <c r="B5" s="51" t="n">
        <v>617</v>
      </c>
      <c r="C5" s="26">
        <f>IF(ISNUMBER(AB5),AB5,"")</f>
        <v/>
      </c>
      <c r="D5" s="26">
        <f>IF(ISNUMBER(C5),C5-U5*Data_Summary!$C$2,"")</f>
        <v/>
      </c>
      <c r="E5" s="224">
        <f>IFERROR(C5/B5,"")</f>
        <v/>
      </c>
      <c r="F5" s="220">
        <f>IFERROR(D5/B5,"")</f>
        <v/>
      </c>
      <c r="G5">
        <f>Q5</f>
        <v/>
      </c>
      <c r="H5">
        <f>IFERROR(LEFT(G5,1),"")</f>
        <v/>
      </c>
      <c r="I5">
        <f>IF(LEN(G5)&gt;1,1,0)</f>
        <v/>
      </c>
      <c r="J5" s="225" t="n">
        <v>46125</v>
      </c>
      <c r="K5" t="inlineStr">
        <is>
          <t>The Humber</t>
        </is>
      </c>
      <c r="L5" t="inlineStr">
        <is>
          <t>10 Wilby Crescent</t>
        </is>
      </c>
      <c r="M5" t="inlineStr">
        <is>
          <t>Toronto (Weston)</t>
        </is>
      </c>
      <c r="N5" t="inlineStr">
        <is>
          <t>Options for Homes</t>
        </is>
      </c>
      <c r="O5" t="inlineStr">
        <is>
          <t>204</t>
        </is>
      </c>
      <c r="P5" t="inlineStr">
        <is>
          <t>204 - 10 Wilby Crescent</t>
        </is>
      </c>
      <c r="Q5" t="inlineStr">
        <is>
          <t>1</t>
        </is>
      </c>
      <c r="R5" t="n">
        <v>1</v>
      </c>
      <c r="S5" s="32" t="n">
        <v>617</v>
      </c>
      <c r="T5" t="inlineStr">
        <is>
          <t>600-699 sqft</t>
        </is>
      </c>
      <c r="U5" t="n">
        <v>1</v>
      </c>
      <c r="V5" t="inlineStr">
        <is>
          <t>Yes</t>
        </is>
      </c>
      <c r="W5" t="inlineStr">
        <is>
          <t>Owned</t>
        </is>
      </c>
      <c r="X5" t="inlineStr">
        <is>
          <t>Balcony, Patio</t>
        </is>
      </c>
      <c r="Y5" t="inlineStr">
        <is>
          <t>E</t>
        </is>
      </c>
      <c r="Z5" t="inlineStr">
        <is>
          <t>Built 2023 (3 yrs)</t>
        </is>
      </c>
      <c r="AA5" t="inlineStr">
        <is>
          <t>Gym, Party Room, Rooftop Deck, Visitor Parking, BBQ, Bike Storage, Concierge, Coin Laundry</t>
        </is>
      </c>
      <c r="AB5" s="54" t="n">
        <v>1999</v>
      </c>
      <c r="AC5" s="54" t="n">
        <v>1999</v>
      </c>
      <c r="AD5" s="220">
        <f>IFERROR(AB5/B5,"")</f>
        <v/>
      </c>
      <c r="AE5" s="220">
        <f>IFERROR(AC5/B5,"")</f>
        <v/>
      </c>
      <c r="AF5" t="inlineStr">
        <is>
          <t>No</t>
        </is>
      </c>
      <c r="AG5" t="inlineStr">
        <is>
          <t>No</t>
        </is>
      </c>
      <c r="AH5" t="inlineStr">
        <is>
          <t>No</t>
        </is>
      </c>
      <c r="AI5" s="226" t="inlineStr">
        <is>
          <t>2026-04-13</t>
        </is>
      </c>
      <c r="AJ5" t="inlineStr">
        <is>
          <t>W12051218</t>
        </is>
      </c>
      <c r="AK5" t="inlineStr">
        <is>
          <t>https://condos.ca/toronto/the-humber-10-wilby-crescent-10-wilby-cres/unit-204-W12051218</t>
        </is>
      </c>
      <c r="AL5" t="inlineStr">
        <is>
          <t>Leased comp. SF: Verified (condos.ca per-unit).</t>
        </is>
      </c>
      <c r="AM5" t="inlineStr">
        <is>
          <t>Condo</t>
        </is>
      </c>
      <c r="AN5" s="227">
        <f>IFERROR(E5*(1+IF(AM5="Apartment",Data_Summary!$C$3,0)),"")</f>
        <v/>
      </c>
      <c r="AO5" s="226" t="n"/>
      <c r="AP5" t="inlineStr">
        <is>
          <t>Verified registered area</t>
        </is>
      </c>
      <c r="AQ5" t="inlineStr">
        <is>
          <t>condos.ca registered area</t>
        </is>
      </c>
      <c r="AS5" t="inlineStr">
        <is>
          <t>condos.ca per-unit registered area; used in $/SF. (template row)</t>
        </is>
      </c>
    </row>
    <row r="6" ht="15" customHeight="1">
      <c r="A6">
        <f>IF(AND(ISNUMBER(B6),B6&gt;0,ISNUMBER(AB6),AB6&gt;0,J6&gt;=Data_Summary!$C$1),1,0)</f>
        <v/>
      </c>
      <c r="B6" s="51" t="n">
        <v>751</v>
      </c>
      <c r="C6" s="26">
        <f>IF(ISNUMBER(AB6),AB6,"")</f>
        <v/>
      </c>
      <c r="D6" s="26">
        <f>IF(ISNUMBER(C6),C6-U6*Data_Summary!$C$2,"")</f>
        <v/>
      </c>
      <c r="E6" s="224">
        <f>IFERROR(C6/B6,"")</f>
        <v/>
      </c>
      <c r="F6" s="220">
        <f>IFERROR(D6/B6,"")</f>
        <v/>
      </c>
      <c r="G6">
        <f>Q6</f>
        <v/>
      </c>
      <c r="H6">
        <f>IFERROR(LEFT(G6,1),"")</f>
        <v/>
      </c>
      <c r="I6">
        <f>IF(LEN(G6)&gt;1,1,0)</f>
        <v/>
      </c>
      <c r="J6" s="225" t="n">
        <v>46113</v>
      </c>
      <c r="K6" t="inlineStr">
        <is>
          <t>The Humber</t>
        </is>
      </c>
      <c r="L6" t="inlineStr">
        <is>
          <t>10 Wilby Crescent</t>
        </is>
      </c>
      <c r="M6" t="inlineStr">
        <is>
          <t>Toronto (Weston)</t>
        </is>
      </c>
      <c r="N6" t="inlineStr">
        <is>
          <t>Options for Homes</t>
        </is>
      </c>
      <c r="O6" t="inlineStr">
        <is>
          <t>202</t>
        </is>
      </c>
      <c r="P6" t="inlineStr">
        <is>
          <t>202 - 10 Wilby Crescent</t>
        </is>
      </c>
      <c r="Q6" t="inlineStr">
        <is>
          <t>1+1</t>
        </is>
      </c>
      <c r="R6" t="n">
        <v>2</v>
      </c>
      <c r="S6" s="32" t="n">
        <v>751</v>
      </c>
      <c r="T6" t="inlineStr">
        <is>
          <t>700-799 sqft</t>
        </is>
      </c>
      <c r="U6" t="n">
        <v>0</v>
      </c>
      <c r="V6" t="inlineStr">
        <is>
          <t>No</t>
        </is>
      </c>
      <c r="W6" t="inlineStr">
        <is>
          <t>None</t>
        </is>
      </c>
      <c r="X6" t="inlineStr">
        <is>
          <t>Balcony, Patio</t>
        </is>
      </c>
      <c r="Y6" t="inlineStr">
        <is>
          <t>NE</t>
        </is>
      </c>
      <c r="Z6" t="inlineStr">
        <is>
          <t>Built 2023 (3 yrs)</t>
        </is>
      </c>
      <c r="AA6" t="inlineStr">
        <is>
          <t>Gym, Party Room, Rooftop Deck, Visitor Parking, BBQ, Bike Storage, Concierge, Coin Laundry</t>
        </is>
      </c>
      <c r="AB6" s="54" t="n">
        <v>2100</v>
      </c>
      <c r="AC6" s="54" t="n">
        <v>2100</v>
      </c>
      <c r="AD6" s="220">
        <f>IFERROR(AB6/B6,"")</f>
        <v/>
      </c>
      <c r="AE6" s="220">
        <f>IFERROR(AC6/B6,"")</f>
        <v/>
      </c>
      <c r="AF6" t="inlineStr">
        <is>
          <t>No</t>
        </is>
      </c>
      <c r="AG6" t="inlineStr">
        <is>
          <t>No</t>
        </is>
      </c>
      <c r="AH6" t="inlineStr">
        <is>
          <t>No</t>
        </is>
      </c>
      <c r="AI6" s="226" t="inlineStr">
        <is>
          <t>2026-04-01</t>
        </is>
      </c>
      <c r="AJ6" t="inlineStr">
        <is>
          <t>W12462017</t>
        </is>
      </c>
      <c r="AK6" t="inlineStr">
        <is>
          <t>https://condos.ca/toronto/the-humber-10-wilby-crescent-10-wilby-cres/unit-202-W12462017</t>
        </is>
      </c>
      <c r="AL6" t="inlineStr">
        <is>
          <t>Leased comp. SF: Verified (condos.ca per-unit).</t>
        </is>
      </c>
      <c r="AM6" t="inlineStr">
        <is>
          <t>Condo</t>
        </is>
      </c>
      <c r="AN6" s="227">
        <f>IFERROR(E6*(1+IF(AM6="Apartment",Data_Summary!$C$3,0)),"")</f>
        <v/>
      </c>
      <c r="AO6" s="226" t="n"/>
      <c r="AP6" t="inlineStr">
        <is>
          <t>Verified registered area</t>
        </is>
      </c>
      <c r="AQ6" t="inlineStr">
        <is>
          <t>condos.ca registered area</t>
        </is>
      </c>
      <c r="AS6" t="inlineStr">
        <is>
          <t>condos.ca per-unit registered area; used in $/SF. (template row)</t>
        </is>
      </c>
    </row>
    <row r="7" ht="15" customHeight="1">
      <c r="A7">
        <f>IF(AND(ISNUMBER(B7),B7&gt;0,ISNUMBER(AB7),AB7&gt;0,J7&gt;=Data_Summary!$C$1),1,0)</f>
        <v/>
      </c>
      <c r="B7" s="51" t="n">
        <v>816</v>
      </c>
      <c r="C7" s="26">
        <f>IF(ISNUMBER(AB7),AB7,"")</f>
        <v/>
      </c>
      <c r="D7" s="26">
        <f>IF(ISNUMBER(C7),C7-U7*Data_Summary!$C$2,"")</f>
        <v/>
      </c>
      <c r="E7" s="224">
        <f>IFERROR(C7/B7,"")</f>
        <v/>
      </c>
      <c r="F7" s="220">
        <f>IFERROR(D7/B7,"")</f>
        <v/>
      </c>
      <c r="G7">
        <f>Q7</f>
        <v/>
      </c>
      <c r="H7">
        <f>IFERROR(LEFT(G7,1),"")</f>
        <v/>
      </c>
      <c r="I7">
        <f>IF(LEN(G7)&gt;1,1,0)</f>
        <v/>
      </c>
      <c r="J7" s="225" t="n">
        <v>46109</v>
      </c>
      <c r="K7" t="inlineStr">
        <is>
          <t>The Humber</t>
        </is>
      </c>
      <c r="L7" t="inlineStr">
        <is>
          <t>10 Wilby Crescent</t>
        </is>
      </c>
      <c r="M7" t="inlineStr">
        <is>
          <t>Toronto (Weston)</t>
        </is>
      </c>
      <c r="N7" t="inlineStr">
        <is>
          <t>Options for Homes</t>
        </is>
      </c>
      <c r="O7" t="inlineStr">
        <is>
          <t>1409</t>
        </is>
      </c>
      <c r="P7" t="inlineStr">
        <is>
          <t>1409 - 10 Wilby Crescent</t>
        </is>
      </c>
      <c r="Q7" t="inlineStr">
        <is>
          <t>2</t>
        </is>
      </c>
      <c r="R7" t="n">
        <v>2</v>
      </c>
      <c r="S7" s="32" t="n">
        <v>816</v>
      </c>
      <c r="T7" t="inlineStr">
        <is>
          <t>800-899 sqft</t>
        </is>
      </c>
      <c r="U7" t="n">
        <v>1</v>
      </c>
      <c r="V7" t="inlineStr">
        <is>
          <t>Yes</t>
        </is>
      </c>
      <c r="W7" t="inlineStr">
        <is>
          <t>None</t>
        </is>
      </c>
      <c r="X7" t="inlineStr">
        <is>
          <t>Balcony, Patio</t>
        </is>
      </c>
      <c r="Y7" t="inlineStr">
        <is>
          <t>E</t>
        </is>
      </c>
      <c r="Z7" t="inlineStr">
        <is>
          <t>Built 2023 (3 yrs)</t>
        </is>
      </c>
      <c r="AA7" t="inlineStr">
        <is>
          <t>Gym, Party Room, Rooftop Deck, Visitor Parking, BBQ, Bike Storage, Concierge, Coin Laundry</t>
        </is>
      </c>
      <c r="AB7" s="54" t="n">
        <v>2575</v>
      </c>
      <c r="AC7" s="54" t="n">
        <v>2600</v>
      </c>
      <c r="AD7" s="220">
        <f>IFERROR(AB7/B7,"")</f>
        <v/>
      </c>
      <c r="AE7" s="220">
        <f>IFERROR(AC7/B7,"")</f>
        <v/>
      </c>
      <c r="AF7" t="inlineStr">
        <is>
          <t>No</t>
        </is>
      </c>
      <c r="AG7" t="inlineStr">
        <is>
          <t>No</t>
        </is>
      </c>
      <c r="AH7" t="inlineStr">
        <is>
          <t>No</t>
        </is>
      </c>
      <c r="AI7" s="226" t="inlineStr">
        <is>
          <t>2026-03-28</t>
        </is>
      </c>
      <c r="AJ7" t="inlineStr">
        <is>
          <t>W12430606</t>
        </is>
      </c>
      <c r="AK7" t="inlineStr">
        <is>
          <t>https://condos.ca/toronto/the-humber-10-wilby-crescent-10-wilby-cres/unit-1409-W12430606</t>
        </is>
      </c>
      <c r="AL7" t="inlineStr">
        <is>
          <t>Leased comp. SF: Verified (condos.ca per-unit).</t>
        </is>
      </c>
      <c r="AM7" t="inlineStr">
        <is>
          <t>Condo</t>
        </is>
      </c>
      <c r="AN7" s="227">
        <f>IFERROR(E7*(1+IF(AM7="Apartment",Data_Summary!$C$3,0)),"")</f>
        <v/>
      </c>
      <c r="AO7" s="226" t="n"/>
      <c r="AP7" t="inlineStr">
        <is>
          <t>Verified registered area</t>
        </is>
      </c>
      <c r="AQ7" t="inlineStr">
        <is>
          <t>condos.ca registered area</t>
        </is>
      </c>
      <c r="AS7" t="inlineStr">
        <is>
          <t>condos.ca per-unit registered area; used in $/SF. (template row)</t>
        </is>
      </c>
    </row>
    <row r="8" ht="15" customHeight="1">
      <c r="A8">
        <f>IF(AND(ISNUMBER(B8),B8&gt;0,ISNUMBER(AB8),AB8&gt;0,J8&gt;=Data_Summary!$C$1),1,0)</f>
        <v/>
      </c>
      <c r="B8" s="51" t="n">
        <v>583</v>
      </c>
      <c r="C8" s="26">
        <f>IF(ISNUMBER(AB8),AB8,"")</f>
        <v/>
      </c>
      <c r="D8" s="26">
        <f>IF(ISNUMBER(C8),C8-U8*Data_Summary!$C$2,"")</f>
        <v/>
      </c>
      <c r="E8" s="224">
        <f>IFERROR(C8/B8,"")</f>
        <v/>
      </c>
      <c r="F8" s="220">
        <f>IFERROR(D8/B8,"")</f>
        <v/>
      </c>
      <c r="G8">
        <f>Q8</f>
        <v/>
      </c>
      <c r="H8">
        <f>IFERROR(LEFT(G8,1),"")</f>
        <v/>
      </c>
      <c r="I8">
        <f>IF(LEN(G8)&gt;1,1,0)</f>
        <v/>
      </c>
      <c r="J8" s="225" t="n">
        <v>46105</v>
      </c>
      <c r="K8" t="inlineStr">
        <is>
          <t>The Humber</t>
        </is>
      </c>
      <c r="L8" t="inlineStr">
        <is>
          <t>10 Wilby Crescent</t>
        </is>
      </c>
      <c r="M8" t="inlineStr">
        <is>
          <t>Toronto (Weston)</t>
        </is>
      </c>
      <c r="N8" t="inlineStr">
        <is>
          <t>Options for Homes</t>
        </is>
      </c>
      <c r="O8" t="inlineStr">
        <is>
          <t>1005</t>
        </is>
      </c>
      <c r="P8" t="inlineStr">
        <is>
          <t>1005 - 10 Wilby Crescent</t>
        </is>
      </c>
      <c r="Q8" t="inlineStr">
        <is>
          <t>1+1</t>
        </is>
      </c>
      <c r="R8" t="n">
        <v>1</v>
      </c>
      <c r="S8" s="32" t="n">
        <v>583</v>
      </c>
      <c r="T8" t="inlineStr">
        <is>
          <t>500-599 sqft</t>
        </is>
      </c>
      <c r="U8" t="n">
        <v>1</v>
      </c>
      <c r="V8" t="inlineStr">
        <is>
          <t>Yes</t>
        </is>
      </c>
      <c r="W8" t="inlineStr">
        <is>
          <t>Owned</t>
        </is>
      </c>
      <c r="X8" t="inlineStr">
        <is>
          <t>Balcony, Patio</t>
        </is>
      </c>
      <c r="Y8" t="inlineStr">
        <is>
          <t>S</t>
        </is>
      </c>
      <c r="Z8" t="inlineStr">
        <is>
          <t>Built 2023 (3 yrs)</t>
        </is>
      </c>
      <c r="AA8" t="inlineStr">
        <is>
          <t>Gym, Party Room, Rooftop Deck, Visitor Parking, BBQ, Bike Storage, Concierge, Coin Laundry</t>
        </is>
      </c>
      <c r="AB8" s="54" t="n">
        <v>2200</v>
      </c>
      <c r="AC8" s="54" t="n">
        <v>2200</v>
      </c>
      <c r="AD8" s="220">
        <f>IFERROR(AB8/B8,"")</f>
        <v/>
      </c>
      <c r="AE8" s="220">
        <f>IFERROR(AC8/B8,"")</f>
        <v/>
      </c>
      <c r="AF8" t="inlineStr">
        <is>
          <t>No</t>
        </is>
      </c>
      <c r="AG8" t="inlineStr">
        <is>
          <t>No</t>
        </is>
      </c>
      <c r="AH8" t="inlineStr">
        <is>
          <t>No</t>
        </is>
      </c>
      <c r="AI8" s="226" t="inlineStr">
        <is>
          <t>2026-03-24</t>
        </is>
      </c>
      <c r="AJ8" t="inlineStr">
        <is>
          <t>W12848862</t>
        </is>
      </c>
      <c r="AK8" t="inlineStr">
        <is>
          <t>https://condos.ca/toronto/the-humber-10-wilby-crescent-10-wilby-cres/unit-1005-W12848862</t>
        </is>
      </c>
      <c r="AL8" t="inlineStr">
        <is>
          <t>Leased comp. SF: Verified (condos.ca per-unit).</t>
        </is>
      </c>
      <c r="AM8" t="inlineStr">
        <is>
          <t>Condo</t>
        </is>
      </c>
      <c r="AN8" s="227">
        <f>IFERROR(E8*(1+IF(AM8="Apartment",Data_Summary!$C$3,0)),"")</f>
        <v/>
      </c>
      <c r="AO8" s="226" t="n"/>
      <c r="AP8" t="inlineStr">
        <is>
          <t>Verified registered area</t>
        </is>
      </c>
      <c r="AQ8" t="inlineStr">
        <is>
          <t>condos.ca registered area</t>
        </is>
      </c>
      <c r="AS8" t="inlineStr">
        <is>
          <t>condos.ca per-unit registered area; used in $/SF. (template row)</t>
        </is>
      </c>
    </row>
    <row r="9" ht="15" customHeight="1">
      <c r="A9">
        <f>IF(AND(ISNUMBER(B9),B9&gt;0,ISNUMBER(AB9),AB9&gt;0,J9&gt;=Data_Summary!$C$1),1,0)</f>
        <v/>
      </c>
      <c r="B9" s="51" t="n">
        <v>988</v>
      </c>
      <c r="C9" s="26">
        <f>IF(ISNUMBER(AB9),AB9,"")</f>
        <v/>
      </c>
      <c r="D9" s="26">
        <f>IF(ISNUMBER(C9),C9-U9*Data_Summary!$C$2,"")</f>
        <v/>
      </c>
      <c r="E9" s="224">
        <f>IFERROR(C9/B9,"")</f>
        <v/>
      </c>
      <c r="F9" s="220">
        <f>IFERROR(D9/B9,"")</f>
        <v/>
      </c>
      <c r="G9">
        <f>Q9</f>
        <v/>
      </c>
      <c r="H9">
        <f>IFERROR(LEFT(G9,1),"")</f>
        <v/>
      </c>
      <c r="I9">
        <f>IF(LEN(G9)&gt;1,1,0)</f>
        <v/>
      </c>
      <c r="J9" s="225" t="n">
        <v>46084</v>
      </c>
      <c r="K9" t="inlineStr">
        <is>
          <t>The Humber</t>
        </is>
      </c>
      <c r="L9" t="inlineStr">
        <is>
          <t>10 Wilby Crescent</t>
        </is>
      </c>
      <c r="M9" t="inlineStr">
        <is>
          <t>Toronto (Weston)</t>
        </is>
      </c>
      <c r="N9" t="inlineStr">
        <is>
          <t>Options for Homes</t>
        </is>
      </c>
      <c r="O9" t="inlineStr">
        <is>
          <t>1206</t>
        </is>
      </c>
      <c r="P9" t="inlineStr">
        <is>
          <t>1206 - 10 Wilby Crescent</t>
        </is>
      </c>
      <c r="Q9" t="inlineStr">
        <is>
          <t>3</t>
        </is>
      </c>
      <c r="R9" t="n">
        <v>2</v>
      </c>
      <c r="S9" s="32" t="n">
        <v>988</v>
      </c>
      <c r="T9" t="inlineStr">
        <is>
          <t>900-999 sqft</t>
        </is>
      </c>
      <c r="U9" t="n">
        <v>0</v>
      </c>
      <c r="V9" t="inlineStr">
        <is>
          <t>No</t>
        </is>
      </c>
      <c r="W9" t="inlineStr">
        <is>
          <t>Owned</t>
        </is>
      </c>
      <c r="X9" t="inlineStr">
        <is>
          <t>Balcony, Patio</t>
        </is>
      </c>
      <c r="Y9" t="inlineStr">
        <is>
          <t>SW</t>
        </is>
      </c>
      <c r="Z9" t="inlineStr">
        <is>
          <t>Built 2023 (3 yrs)</t>
        </is>
      </c>
      <c r="AA9" t="inlineStr">
        <is>
          <t>Gym, Party Room, Rooftop Deck, Visitor Parking, BBQ, Bike Storage, Concierge, Coin Laundry</t>
        </is>
      </c>
      <c r="AB9" s="54" t="n">
        <v>2550</v>
      </c>
      <c r="AC9" s="54" t="n">
        <v>2700</v>
      </c>
      <c r="AD9" s="220">
        <f>IFERROR(AB9/B9,"")</f>
        <v/>
      </c>
      <c r="AE9" s="220">
        <f>IFERROR(AC9/B9,"")</f>
        <v/>
      </c>
      <c r="AF9" t="inlineStr">
        <is>
          <t>No</t>
        </is>
      </c>
      <c r="AG9" t="inlineStr">
        <is>
          <t>No</t>
        </is>
      </c>
      <c r="AH9" t="inlineStr">
        <is>
          <t>No</t>
        </is>
      </c>
      <c r="AI9" s="226" t="inlineStr">
        <is>
          <t>2026-03-03</t>
        </is>
      </c>
      <c r="AJ9" t="inlineStr">
        <is>
          <t>W12473063</t>
        </is>
      </c>
      <c r="AK9" t="inlineStr">
        <is>
          <t>https://condos.ca/toronto/the-humber-10-wilby-crescent-10-wilby-cres/unit-1206-W12473063</t>
        </is>
      </c>
      <c r="AL9" t="inlineStr">
        <is>
          <t>Leased comp. SF: Verified (condos.ca per-unit).</t>
        </is>
      </c>
      <c r="AM9" t="inlineStr">
        <is>
          <t>Condo</t>
        </is>
      </c>
      <c r="AN9" s="227">
        <f>IFERROR(E9*(1+IF(AM9="Apartment",Data_Summary!$C$3,0)),"")</f>
        <v/>
      </c>
      <c r="AO9" s="226" t="n"/>
      <c r="AP9" t="inlineStr">
        <is>
          <t>Verified registered area</t>
        </is>
      </c>
      <c r="AQ9" t="inlineStr">
        <is>
          <t>condos.ca registered area</t>
        </is>
      </c>
      <c r="AS9" t="inlineStr">
        <is>
          <t>condos.ca per-unit registered area; used in $/SF. (template row)</t>
        </is>
      </c>
    </row>
    <row r="10" ht="15" customHeight="1">
      <c r="A10">
        <f>IF(AND(ISNUMBER(B10),B10&gt;0,ISNUMBER(AB10),AB10&gt;0,J10&gt;=Data_Summary!$C$1),1,0)</f>
        <v/>
      </c>
      <c r="B10" s="51" t="n">
        <v>694</v>
      </c>
      <c r="C10" s="26">
        <f>IF(ISNUMBER(AB10),AB10,"")</f>
        <v/>
      </c>
      <c r="D10" s="26">
        <f>IF(ISNUMBER(C10),C10-U10*Data_Summary!$C$2,"")</f>
        <v/>
      </c>
      <c r="E10" s="224">
        <f>IFERROR(C10/B10,"")</f>
        <v/>
      </c>
      <c r="F10" s="220">
        <f>IFERROR(D10/B10,"")</f>
        <v/>
      </c>
      <c r="G10">
        <f>Q10</f>
        <v/>
      </c>
      <c r="H10">
        <f>IFERROR(LEFT(G10,1),"")</f>
        <v/>
      </c>
      <c r="I10">
        <f>IF(LEN(G10)&gt;1,1,0)</f>
        <v/>
      </c>
      <c r="J10" s="225" t="n">
        <v>46044</v>
      </c>
      <c r="K10" t="inlineStr">
        <is>
          <t>The Humber</t>
        </is>
      </c>
      <c r="L10" t="inlineStr">
        <is>
          <t>10 Wilby Crescent</t>
        </is>
      </c>
      <c r="M10" t="inlineStr">
        <is>
          <t>Toronto (Weston)</t>
        </is>
      </c>
      <c r="N10" t="inlineStr">
        <is>
          <t>Options for Homes</t>
        </is>
      </c>
      <c r="O10" t="inlineStr">
        <is>
          <t>308</t>
        </is>
      </c>
      <c r="P10" t="inlineStr">
        <is>
          <t>308 - 10 Wilby Crescent</t>
        </is>
      </c>
      <c r="Q10" t="inlineStr">
        <is>
          <t>1+1</t>
        </is>
      </c>
      <c r="R10" t="n">
        <v>1</v>
      </c>
      <c r="S10" s="32" t="n">
        <v>694</v>
      </c>
      <c r="T10" t="inlineStr">
        <is>
          <t>600-699 sqft</t>
        </is>
      </c>
      <c r="U10" t="n">
        <v>1</v>
      </c>
      <c r="V10" t="inlineStr">
        <is>
          <t>Yes</t>
        </is>
      </c>
      <c r="W10" t="inlineStr">
        <is>
          <t>Owned</t>
        </is>
      </c>
      <c r="X10" t="inlineStr">
        <is>
          <t>Balcony, Patio</t>
        </is>
      </c>
      <c r="Y10" t="inlineStr">
        <is>
          <t>S</t>
        </is>
      </c>
      <c r="Z10" t="inlineStr">
        <is>
          <t>Built 2023 (3 yrs)</t>
        </is>
      </c>
      <c r="AA10" t="inlineStr">
        <is>
          <t>Gym, Party Room, Rooftop Deck, Visitor Parking, BBQ, Bike Storage, Concierge, Coin Laundry</t>
        </is>
      </c>
      <c r="AB10" s="54" t="n">
        <v>2199</v>
      </c>
      <c r="AC10" s="54" t="n">
        <v>2199</v>
      </c>
      <c r="AD10" s="220">
        <f>IFERROR(AB10/B10,"")</f>
        <v/>
      </c>
      <c r="AE10" s="220">
        <f>IFERROR(AC10/B10,"")</f>
        <v/>
      </c>
      <c r="AF10" t="inlineStr">
        <is>
          <t>No</t>
        </is>
      </c>
      <c r="AG10" t="inlineStr">
        <is>
          <t>No</t>
        </is>
      </c>
      <c r="AH10" t="inlineStr">
        <is>
          <t>No</t>
        </is>
      </c>
      <c r="AI10" s="226" t="inlineStr">
        <is>
          <t>2026-01-22</t>
        </is>
      </c>
      <c r="AJ10" t="inlineStr">
        <is>
          <t>W12686952</t>
        </is>
      </c>
      <c r="AK10" t="inlineStr">
        <is>
          <t>https://condos.ca/toronto/the-humber-10-wilby-crescent-10-wilby-cres/unit-308-W12686952</t>
        </is>
      </c>
      <c r="AL10" t="inlineStr">
        <is>
          <t>Leased comp. SF: Verified (condos.ca per-unit).</t>
        </is>
      </c>
      <c r="AM10" t="inlineStr">
        <is>
          <t>Condo</t>
        </is>
      </c>
      <c r="AN10" s="227">
        <f>IFERROR(E10*(1+IF(AM10="Apartment",Data_Summary!$C$3,0)),"")</f>
        <v/>
      </c>
      <c r="AO10" s="226" t="n"/>
      <c r="AP10" t="inlineStr">
        <is>
          <t>Verified registered area</t>
        </is>
      </c>
      <c r="AQ10" t="inlineStr">
        <is>
          <t>condos.ca registered area</t>
        </is>
      </c>
      <c r="AS10" t="inlineStr">
        <is>
          <t>condos.ca per-unit registered area; used in $/SF. (template row)</t>
        </is>
      </c>
    </row>
    <row r="11" ht="15" customHeight="1">
      <c r="A11">
        <f>IF(AND(ISNUMBER(B11),B11&gt;0,ISNUMBER(AB11),AB11&gt;0,J11&gt;=Data_Summary!$C$1),1,0)</f>
        <v/>
      </c>
      <c r="B11" s="51" t="n">
        <v>588</v>
      </c>
      <c r="C11" s="26">
        <f>IF(ISNUMBER(AB11),AB11,"")</f>
        <v/>
      </c>
      <c r="D11" s="26">
        <f>IF(ISNUMBER(C11),C11-U11*Data_Summary!$C$2,"")</f>
        <v/>
      </c>
      <c r="E11" s="224">
        <f>IFERROR(C11/B11,"")</f>
        <v/>
      </c>
      <c r="F11" s="220">
        <f>IFERROR(D11/B11,"")</f>
        <v/>
      </c>
      <c r="G11">
        <f>Q11</f>
        <v/>
      </c>
      <c r="H11">
        <f>IFERROR(LEFT(G11,1),"")</f>
        <v/>
      </c>
      <c r="I11">
        <f>IF(LEN(G11)&gt;1,1,0)</f>
        <v/>
      </c>
      <c r="J11" s="225" t="n">
        <v>46043</v>
      </c>
      <c r="K11" t="inlineStr">
        <is>
          <t>The Humber</t>
        </is>
      </c>
      <c r="L11" t="inlineStr">
        <is>
          <t>10 Wilby Crescent</t>
        </is>
      </c>
      <c r="M11" t="inlineStr">
        <is>
          <t>Toronto (Weston)</t>
        </is>
      </c>
      <c r="N11" t="inlineStr">
        <is>
          <t>Options for Homes</t>
        </is>
      </c>
      <c r="O11" t="inlineStr">
        <is>
          <t>2004</t>
        </is>
      </c>
      <c r="P11" t="inlineStr">
        <is>
          <t>2004 - 10 Wilby Crescent</t>
        </is>
      </c>
      <c r="Q11" t="inlineStr">
        <is>
          <t>1+1</t>
        </is>
      </c>
      <c r="R11" t="n">
        <v>1</v>
      </c>
      <c r="S11" s="32" t="n">
        <v>588</v>
      </c>
      <c r="T11" t="inlineStr">
        <is>
          <t>500-599 sqft</t>
        </is>
      </c>
      <c r="U11" t="n">
        <v>0</v>
      </c>
      <c r="V11" t="inlineStr">
        <is>
          <t>No</t>
        </is>
      </c>
      <c r="W11" t="inlineStr">
        <is>
          <t>Owned</t>
        </is>
      </c>
      <c r="X11" t="inlineStr">
        <is>
          <t>Balcony, Patio</t>
        </is>
      </c>
      <c r="Y11" t="inlineStr">
        <is>
          <t>W</t>
        </is>
      </c>
      <c r="Z11" t="inlineStr">
        <is>
          <t>Built 2023 (3 yrs)</t>
        </is>
      </c>
      <c r="AA11" t="inlineStr">
        <is>
          <t>Gym, Party Room, Rooftop Deck, Visitor Parking, BBQ, Bike Storage, Concierge, Coin Laundry</t>
        </is>
      </c>
      <c r="AB11" s="54" t="n">
        <v>2100</v>
      </c>
      <c r="AC11" s="54" t="n">
        <v>2100</v>
      </c>
      <c r="AD11" s="220">
        <f>IFERROR(AB11/B11,"")</f>
        <v/>
      </c>
      <c r="AE11" s="220">
        <f>IFERROR(AC11/B11,"")</f>
        <v/>
      </c>
      <c r="AF11" t="inlineStr">
        <is>
          <t>Yes</t>
        </is>
      </c>
      <c r="AG11" t="inlineStr">
        <is>
          <t>No</t>
        </is>
      </c>
      <c r="AH11" t="inlineStr">
        <is>
          <t>No</t>
        </is>
      </c>
      <c r="AI11" s="226" t="inlineStr">
        <is>
          <t>2026-01-21</t>
        </is>
      </c>
      <c r="AJ11" t="inlineStr">
        <is>
          <t>W12460996</t>
        </is>
      </c>
      <c r="AK11" t="inlineStr">
        <is>
          <t>https://condos.ca/toronto/the-humber-10-wilby-crescent-10-wilby-cres/unit-2004-W12460996</t>
        </is>
      </c>
      <c r="AL11" t="inlineStr">
        <is>
          <t>Leased comp. SF: Verified (condos.ca per-unit).</t>
        </is>
      </c>
      <c r="AM11" t="inlineStr">
        <is>
          <t>Condo</t>
        </is>
      </c>
      <c r="AN11" s="227">
        <f>IFERROR(E11*(1+IF(AM11="Apartment",Data_Summary!$C$3,0)),"")</f>
        <v/>
      </c>
      <c r="AO11" s="226" t="n"/>
      <c r="AP11" t="inlineStr">
        <is>
          <t>Verified registered area</t>
        </is>
      </c>
      <c r="AQ11" t="inlineStr">
        <is>
          <t>condos.ca registered area</t>
        </is>
      </c>
      <c r="AS11" t="inlineStr">
        <is>
          <t>condos.ca per-unit registered area; used in $/SF. (template row)</t>
        </is>
      </c>
    </row>
    <row r="12" ht="15" customHeight="1">
      <c r="A12">
        <f>IF(AND(ISNUMBER(B12),B12&gt;0,ISNUMBER(AB12),AB12&gt;0,J12&gt;=Data_Summary!$C$1),1,0)</f>
        <v/>
      </c>
      <c r="B12" s="51" t="n">
        <v>694</v>
      </c>
      <c r="C12" s="26">
        <f>IF(ISNUMBER(AB12),AB12,"")</f>
        <v/>
      </c>
      <c r="D12" s="26">
        <f>IF(ISNUMBER(C12),C12-U12*Data_Summary!$C$2,"")</f>
        <v/>
      </c>
      <c r="E12" s="224">
        <f>IFERROR(C12/B12,"")</f>
        <v/>
      </c>
      <c r="F12" s="220">
        <f>IFERROR(D12/B12,"")</f>
        <v/>
      </c>
      <c r="G12">
        <f>Q12</f>
        <v/>
      </c>
      <c r="H12">
        <f>IFERROR(LEFT(G12,1),"")</f>
        <v/>
      </c>
      <c r="I12">
        <f>IF(LEN(G12)&gt;1,1,0)</f>
        <v/>
      </c>
      <c r="J12" s="225" t="n">
        <v>46009</v>
      </c>
      <c r="K12" t="inlineStr">
        <is>
          <t>The Humber</t>
        </is>
      </c>
      <c r="L12" t="inlineStr">
        <is>
          <t>10 Wilby Crescent</t>
        </is>
      </c>
      <c r="M12" t="inlineStr">
        <is>
          <t>Toronto (Weston)</t>
        </is>
      </c>
      <c r="N12" t="inlineStr">
        <is>
          <t>Options for Homes</t>
        </is>
      </c>
      <c r="O12" t="inlineStr">
        <is>
          <t>2102</t>
        </is>
      </c>
      <c r="P12" t="inlineStr">
        <is>
          <t>2102 - 10 Wilby Crescent</t>
        </is>
      </c>
      <c r="Q12" t="inlineStr">
        <is>
          <t>2</t>
        </is>
      </c>
      <c r="R12" t="n">
        <v>2</v>
      </c>
      <c r="S12" s="32" t="n">
        <v>694</v>
      </c>
      <c r="T12" t="inlineStr">
        <is>
          <t>600-699 sqft</t>
        </is>
      </c>
      <c r="U12" t="n">
        <v>1</v>
      </c>
      <c r="V12" t="inlineStr">
        <is>
          <t>Yes</t>
        </is>
      </c>
      <c r="W12" t="inlineStr">
        <is>
          <t>Owned</t>
        </is>
      </c>
      <c r="X12" t="inlineStr">
        <is>
          <t>Balcony, Patio</t>
        </is>
      </c>
      <c r="Y12" t="inlineStr">
        <is>
          <t>S</t>
        </is>
      </c>
      <c r="Z12" t="inlineStr">
        <is>
          <t>Built 2023 (3 yrs)</t>
        </is>
      </c>
      <c r="AA12" t="inlineStr">
        <is>
          <t>Gym, Party Room, Rooftop Deck, Visitor Parking, BBQ, Bike Storage, Concierge, Coin Laundry</t>
        </is>
      </c>
      <c r="AB12" s="54" t="n">
        <v>2400</v>
      </c>
      <c r="AC12" s="54" t="n">
        <v>2400</v>
      </c>
      <c r="AD12" s="220">
        <f>IFERROR(AB12/B12,"")</f>
        <v/>
      </c>
      <c r="AE12" s="220">
        <f>IFERROR(AC12/B12,"")</f>
        <v/>
      </c>
      <c r="AF12" t="inlineStr">
        <is>
          <t>No</t>
        </is>
      </c>
      <c r="AG12" t="inlineStr">
        <is>
          <t>No</t>
        </is>
      </c>
      <c r="AH12" t="inlineStr">
        <is>
          <t>No</t>
        </is>
      </c>
      <c r="AI12" s="226" t="inlineStr">
        <is>
          <t>2025-12-18</t>
        </is>
      </c>
      <c r="AJ12" t="inlineStr">
        <is>
          <t>W12372035</t>
        </is>
      </c>
      <c r="AK12" t="inlineStr">
        <is>
          <t>https://condos.ca/toronto/the-humber-10-wilby-crescent-10-wilby-cres/unit-2102-W12372035</t>
        </is>
      </c>
      <c r="AL12" t="inlineStr">
        <is>
          <t>Leased comp. SF: Verified (condos.ca per-unit).</t>
        </is>
      </c>
      <c r="AM12" t="inlineStr">
        <is>
          <t>Condo</t>
        </is>
      </c>
      <c r="AN12" s="227">
        <f>IFERROR(E12*(1+IF(AM12="Apartment",Data_Summary!$C$3,0)),"")</f>
        <v/>
      </c>
      <c r="AO12" s="226" t="n"/>
      <c r="AP12" t="inlineStr">
        <is>
          <t>Verified registered area</t>
        </is>
      </c>
      <c r="AQ12" t="inlineStr">
        <is>
          <t>condos.ca registered area</t>
        </is>
      </c>
      <c r="AS12" t="inlineStr">
        <is>
          <t>condos.ca per-unit registered area; used in $/SF. (template row)</t>
        </is>
      </c>
    </row>
    <row r="13" ht="15" customHeight="1">
      <c r="A13">
        <f>IF(AND(ISNUMBER(B13),B13&gt;0,ISNUMBER(AB13),AB13&gt;0,J13&gt;=Data_Summary!$C$1),1,0)</f>
        <v/>
      </c>
      <c r="B13" s="55" t="n">
        <v>788</v>
      </c>
      <c r="C13" s="26">
        <f>IF(ISNUMBER(AB13),AB13,"")</f>
        <v/>
      </c>
      <c r="D13" s="26">
        <f>IF(ISNUMBER(C13),C13-U13*Data_Summary!$C$2,"")</f>
        <v/>
      </c>
      <c r="E13" s="228">
        <f>IFERROR(C13/B13,"")</f>
        <v/>
      </c>
      <c r="F13" s="220">
        <f>IFERROR(D13/B13,"")</f>
        <v/>
      </c>
      <c r="G13">
        <f>Q13</f>
        <v/>
      </c>
      <c r="H13">
        <f>IFERROR(LEFT(G13,1),"")</f>
        <v/>
      </c>
      <c r="I13">
        <f>IF(LEN(G13)&gt;1,1,0)</f>
        <v/>
      </c>
      <c r="J13" s="225" t="n">
        <v>45959</v>
      </c>
      <c r="K13" t="inlineStr">
        <is>
          <t>The Humber</t>
        </is>
      </c>
      <c r="L13" t="inlineStr">
        <is>
          <t>10 Wilby Crescent</t>
        </is>
      </c>
      <c r="M13" t="inlineStr">
        <is>
          <t>Toronto (Weston)</t>
        </is>
      </c>
      <c r="N13" t="inlineStr">
        <is>
          <t>Options for Homes</t>
        </is>
      </c>
      <c r="O13" t="inlineStr">
        <is>
          <t>405</t>
        </is>
      </c>
      <c r="P13" t="inlineStr">
        <is>
          <t>405 - 10 Wilby Crescent</t>
        </is>
      </c>
      <c r="Q13" t="inlineStr">
        <is>
          <t>2</t>
        </is>
      </c>
      <c r="R13" t="n">
        <v>2</v>
      </c>
      <c r="S13" s="32" t="n">
        <v>788</v>
      </c>
      <c r="T13" t="inlineStr">
        <is>
          <t>700-799 sqft</t>
        </is>
      </c>
      <c r="U13" t="n">
        <v>1</v>
      </c>
      <c r="V13" t="inlineStr">
        <is>
          <t>Yes</t>
        </is>
      </c>
      <c r="W13" t="inlineStr">
        <is>
          <t>Owned</t>
        </is>
      </c>
      <c r="X13" t="inlineStr">
        <is>
          <t>Balcony, Patio</t>
        </is>
      </c>
      <c r="Y13" t="inlineStr">
        <is>
          <t>NE</t>
        </is>
      </c>
      <c r="Z13" t="inlineStr">
        <is>
          <t>Built 2023 (3 yrs)</t>
        </is>
      </c>
      <c r="AA13" t="inlineStr">
        <is>
          <t>Gym, Party Room, Rooftop Deck, Visitor Parking, BBQ, Bike Storage, Concierge, Coin Laundry</t>
        </is>
      </c>
      <c r="AB13" s="54" t="n">
        <v>2600</v>
      </c>
      <c r="AC13" s="54" t="n">
        <v>2600</v>
      </c>
      <c r="AD13" s="220">
        <f>IFERROR(AB13/B13,"")</f>
        <v/>
      </c>
      <c r="AE13" s="220">
        <f>IFERROR(AC13/B13,"")</f>
        <v/>
      </c>
      <c r="AF13" t="inlineStr">
        <is>
          <t>No</t>
        </is>
      </c>
      <c r="AG13" t="inlineStr">
        <is>
          <t>No</t>
        </is>
      </c>
      <c r="AH13" t="inlineStr">
        <is>
          <t>No</t>
        </is>
      </c>
      <c r="AI13" s="226" t="inlineStr">
        <is>
          <t>2025-10-29</t>
        </is>
      </c>
      <c r="AJ13" t="inlineStr">
        <is>
          <t>W12432828</t>
        </is>
      </c>
      <c r="AK13" t="inlineStr">
        <is>
          <t>https://condos.ca/toronto/the-humber-10-wilby-crescent-10-wilby-cres/unit-405-W12432828</t>
        </is>
      </c>
      <c r="AL13" t="inlineStr">
        <is>
          <t>Leased comp. SF: Verified (condos.ca per-unit).</t>
        </is>
      </c>
      <c r="AM13" t="inlineStr">
        <is>
          <t>Condo</t>
        </is>
      </c>
      <c r="AN13" s="227">
        <f>IFERROR(E13*(1+IF(AM13="Apartment",Data_Summary!$C$3,0)),"")</f>
        <v/>
      </c>
      <c r="AO13" s="226" t="n"/>
      <c r="AP13" t="inlineStr">
        <is>
          <t>Verified registered area</t>
        </is>
      </c>
      <c r="AQ13" t="inlineStr">
        <is>
          <t>condos.ca registered area</t>
        </is>
      </c>
      <c r="AS13" t="inlineStr">
        <is>
          <t>condos.ca per-unit registered area; used in $/SF. (template row)</t>
        </is>
      </c>
    </row>
    <row r="14" ht="15" customHeight="1">
      <c r="A14">
        <f>IF(AND(ISNUMBER(B14),B14&gt;0,ISNUMBER(AB14),AB14&gt;0,J14&gt;=Data_Summary!$C$1),1,0)</f>
        <v/>
      </c>
      <c r="B14" s="51" t="n">
        <v>988</v>
      </c>
      <c r="C14" s="26">
        <f>IF(ISNUMBER(AB14),AB14,"")</f>
        <v/>
      </c>
      <c r="D14" s="26">
        <f>IF(ISNUMBER(C14),C14-U14*Data_Summary!$C$2,"")</f>
        <v/>
      </c>
      <c r="E14" s="224">
        <f>IFERROR(C14/B14,"")</f>
        <v/>
      </c>
      <c r="F14" s="220">
        <f>IFERROR(D14/B14,"")</f>
        <v/>
      </c>
      <c r="G14">
        <f>Q14</f>
        <v/>
      </c>
      <c r="H14">
        <f>IFERROR(LEFT(G14,1),"")</f>
        <v/>
      </c>
      <c r="I14">
        <f>IF(LEN(G14)&gt;1,1,0)</f>
        <v/>
      </c>
      <c r="J14" s="225" t="n">
        <v>45933</v>
      </c>
      <c r="K14" t="inlineStr">
        <is>
          <t>The Humber</t>
        </is>
      </c>
      <c r="L14" t="inlineStr">
        <is>
          <t>10 Wilby Crescent</t>
        </is>
      </c>
      <c r="M14" t="inlineStr">
        <is>
          <t>Toronto (Weston)</t>
        </is>
      </c>
      <c r="N14" t="inlineStr">
        <is>
          <t>Options for Homes</t>
        </is>
      </c>
      <c r="O14" t="inlineStr">
        <is>
          <t>2106</t>
        </is>
      </c>
      <c r="P14" t="inlineStr">
        <is>
          <t>2106 - 10 Wilby Crescent</t>
        </is>
      </c>
      <c r="Q14" t="inlineStr">
        <is>
          <t>3</t>
        </is>
      </c>
      <c r="R14" t="n">
        <v>2</v>
      </c>
      <c r="S14" s="32" t="n">
        <v>988</v>
      </c>
      <c r="T14" t="inlineStr">
        <is>
          <t>900-999 sqft</t>
        </is>
      </c>
      <c r="U14" t="n">
        <v>1</v>
      </c>
      <c r="V14" t="inlineStr">
        <is>
          <t>Yes</t>
        </is>
      </c>
      <c r="W14" t="inlineStr">
        <is>
          <t>Owned</t>
        </is>
      </c>
      <c r="X14" t="inlineStr">
        <is>
          <t>Balcony, Patio</t>
        </is>
      </c>
      <c r="Y14" t="inlineStr">
        <is>
          <t>SW</t>
        </is>
      </c>
      <c r="Z14" t="inlineStr">
        <is>
          <t>Built 2023 (3 yrs)</t>
        </is>
      </c>
      <c r="AA14" t="inlineStr">
        <is>
          <t>Gym, Party Room, Rooftop Deck, Visitor Parking, BBQ, Bike Storage, Concierge, Coin Laundry</t>
        </is>
      </c>
      <c r="AB14" s="54" t="n">
        <v>3000</v>
      </c>
      <c r="AC14" s="54" t="n">
        <v>3000</v>
      </c>
      <c r="AD14" s="220">
        <f>IFERROR(AB14/B14,"")</f>
        <v/>
      </c>
      <c r="AE14" s="220">
        <f>IFERROR(AC14/B14,"")</f>
        <v/>
      </c>
      <c r="AF14" t="inlineStr">
        <is>
          <t>No</t>
        </is>
      </c>
      <c r="AG14" t="inlineStr">
        <is>
          <t>No</t>
        </is>
      </c>
      <c r="AH14" t="inlineStr">
        <is>
          <t>No</t>
        </is>
      </c>
      <c r="AI14" s="226" t="inlineStr">
        <is>
          <t>2025-10-03</t>
        </is>
      </c>
      <c r="AJ14" t="inlineStr">
        <is>
          <t>W12390989</t>
        </is>
      </c>
      <c r="AK14" t="inlineStr">
        <is>
          <t>https://condos.ca/toronto/the-humber-10-wilby-crescent-10-wilby-cres/unit-2106-W12390989</t>
        </is>
      </c>
      <c r="AL14" t="inlineStr">
        <is>
          <t>Leased comp. SF: Verified (condos.ca per-unit).</t>
        </is>
      </c>
      <c r="AM14" t="inlineStr">
        <is>
          <t>Condo</t>
        </is>
      </c>
      <c r="AN14" s="227">
        <f>IFERROR(E14*(1+IF(AM14="Apartment",Data_Summary!$C$3,0)),"")</f>
        <v/>
      </c>
      <c r="AO14" s="226" t="n"/>
      <c r="AP14" t="inlineStr">
        <is>
          <t>Verified registered area</t>
        </is>
      </c>
      <c r="AQ14" t="inlineStr">
        <is>
          <t>condos.ca registered area</t>
        </is>
      </c>
      <c r="AS14" t="inlineStr">
        <is>
          <t>condos.ca per-unit registered area; used in $/SF. (template row)</t>
        </is>
      </c>
    </row>
    <row r="15" ht="15" customHeight="1">
      <c r="A15">
        <f>IF(AND(ISNUMBER(B15),B15&gt;0,ISNUMBER(AB15),AB15&gt;0,J15&gt;=Data_Summary!$C$1),1,0)</f>
        <v/>
      </c>
      <c r="B15" s="51" t="n">
        <v>556</v>
      </c>
      <c r="C15" s="26">
        <f>IF(ISNUMBER(AB15),AB15,"")</f>
        <v/>
      </c>
      <c r="D15" s="26">
        <f>IF(ISNUMBER(C15),C15-U15*Data_Summary!$C$2,"")</f>
        <v/>
      </c>
      <c r="E15" s="224">
        <f>IFERROR(C15/B15,"")</f>
        <v/>
      </c>
      <c r="F15" s="220">
        <f>IFERROR(D15/B15,"")</f>
        <v/>
      </c>
      <c r="G15">
        <f>Q15</f>
        <v/>
      </c>
      <c r="H15">
        <f>IFERROR(LEFT(G15,1),"")</f>
        <v/>
      </c>
      <c r="I15">
        <f>IF(LEN(G15)&gt;1,1,0)</f>
        <v/>
      </c>
      <c r="J15" s="225" t="n">
        <v>45932</v>
      </c>
      <c r="K15" t="inlineStr">
        <is>
          <t>The Humber</t>
        </is>
      </c>
      <c r="L15" t="inlineStr">
        <is>
          <t>10 Wilby Crescent</t>
        </is>
      </c>
      <c r="M15" t="inlineStr">
        <is>
          <t>Toronto (Weston)</t>
        </is>
      </c>
      <c r="N15" t="inlineStr">
        <is>
          <t>Options for Homes</t>
        </is>
      </c>
      <c r="O15" t="inlineStr">
        <is>
          <t>615</t>
        </is>
      </c>
      <c r="P15" t="inlineStr">
        <is>
          <t>615 - 10 Wilby Crescent</t>
        </is>
      </c>
      <c r="Q15" t="inlineStr">
        <is>
          <t>1</t>
        </is>
      </c>
      <c r="R15" t="n">
        <v>1</v>
      </c>
      <c r="S15" s="32" t="n">
        <v>556</v>
      </c>
      <c r="T15" t="inlineStr">
        <is>
          <t>500-599 sqft</t>
        </is>
      </c>
      <c r="U15" t="n">
        <v>1</v>
      </c>
      <c r="V15" t="inlineStr">
        <is>
          <t>Yes</t>
        </is>
      </c>
      <c r="W15" t="inlineStr">
        <is>
          <t>Owned</t>
        </is>
      </c>
      <c r="X15" t="inlineStr">
        <is>
          <t>Balcony, Patio</t>
        </is>
      </c>
      <c r="Y15" t="inlineStr">
        <is>
          <t>NW</t>
        </is>
      </c>
      <c r="Z15" t="inlineStr">
        <is>
          <t>Built 2023 (3 yrs)</t>
        </is>
      </c>
      <c r="AA15" t="inlineStr">
        <is>
          <t>Gym, Party Room, Rooftop Deck, Visitor Parking, BBQ, Bike Storage, Concierge, Coin Laundry</t>
        </is>
      </c>
      <c r="AB15" s="54" t="n">
        <v>2200</v>
      </c>
      <c r="AC15" s="54" t="n">
        <v>2200</v>
      </c>
      <c r="AD15" s="220">
        <f>IFERROR(AB15/B15,"")</f>
        <v/>
      </c>
      <c r="AE15" s="220">
        <f>IFERROR(AC15/B15,"")</f>
        <v/>
      </c>
      <c r="AF15" t="inlineStr">
        <is>
          <t>No</t>
        </is>
      </c>
      <c r="AG15" t="inlineStr">
        <is>
          <t>No</t>
        </is>
      </c>
      <c r="AH15" t="inlineStr">
        <is>
          <t>No</t>
        </is>
      </c>
      <c r="AI15" s="226" t="inlineStr">
        <is>
          <t>2025-10-02</t>
        </is>
      </c>
      <c r="AJ15" t="inlineStr">
        <is>
          <t>W12339385</t>
        </is>
      </c>
      <c r="AK15" t="inlineStr">
        <is>
          <t>https://condos.ca/toronto/the-humber-10-wilby-crescent-10-wilby-cres/unit-615-W12339385</t>
        </is>
      </c>
      <c r="AL15" t="inlineStr">
        <is>
          <t>Leased comp. SF: Verified (condos.ca per-unit).</t>
        </is>
      </c>
      <c r="AM15" t="inlineStr">
        <is>
          <t>Condo</t>
        </is>
      </c>
      <c r="AN15" s="227">
        <f>IFERROR(E15*(1+IF(AM15="Apartment",Data_Summary!$C$3,0)),"")</f>
        <v/>
      </c>
      <c r="AO15" s="226" t="n"/>
      <c r="AP15" t="inlineStr">
        <is>
          <t>Verified registered area</t>
        </is>
      </c>
      <c r="AQ15" t="inlineStr">
        <is>
          <t>condos.ca registered area</t>
        </is>
      </c>
      <c r="AS15" t="inlineStr">
        <is>
          <t>condos.ca per-unit registered area; used in $/SF. (template row)</t>
        </is>
      </c>
    </row>
    <row r="16" ht="15" customHeight="1">
      <c r="A16">
        <f>IF(AND(ISNUMBER(B16),B16&gt;0,ISNUMBER(AB16),AB16&gt;0,J16&gt;=Data_Summary!$C$1),1,0)</f>
        <v/>
      </c>
      <c r="B16" s="51" t="n">
        <v>988</v>
      </c>
      <c r="C16" s="26">
        <f>IF(ISNUMBER(AB16),AB16,"")</f>
        <v/>
      </c>
      <c r="D16" s="26">
        <f>IF(ISNUMBER(C16),C16-U16*Data_Summary!$C$2,"")</f>
        <v/>
      </c>
      <c r="E16" s="224">
        <f>IFERROR(C16/B16,"")</f>
        <v/>
      </c>
      <c r="F16" s="220">
        <f>IFERROR(D16/B16,"")</f>
        <v/>
      </c>
      <c r="G16">
        <f>Q16</f>
        <v/>
      </c>
      <c r="H16">
        <f>IFERROR(LEFT(G16,1),"")</f>
        <v/>
      </c>
      <c r="I16">
        <f>IF(LEN(G16)&gt;1,1,0)</f>
        <v/>
      </c>
      <c r="J16" s="225" t="n">
        <v>45923</v>
      </c>
      <c r="K16" t="inlineStr">
        <is>
          <t>The Humber</t>
        </is>
      </c>
      <c r="L16" t="inlineStr">
        <is>
          <t>10 Wilby Crescent</t>
        </is>
      </c>
      <c r="M16" t="inlineStr">
        <is>
          <t>Toronto (Weston)</t>
        </is>
      </c>
      <c r="N16" t="inlineStr">
        <is>
          <t>Options for Homes</t>
        </is>
      </c>
      <c r="O16" t="inlineStr">
        <is>
          <t>2006</t>
        </is>
      </c>
      <c r="P16" t="inlineStr">
        <is>
          <t>2006 - 10 Wilby Crescent</t>
        </is>
      </c>
      <c r="Q16" t="inlineStr">
        <is>
          <t>3</t>
        </is>
      </c>
      <c r="R16" t="n">
        <v>2</v>
      </c>
      <c r="S16" s="32" t="n">
        <v>988</v>
      </c>
      <c r="T16" t="inlineStr">
        <is>
          <t>900-999 sqft</t>
        </is>
      </c>
      <c r="U16" t="n">
        <v>1</v>
      </c>
      <c r="V16" t="inlineStr">
        <is>
          <t>Yes</t>
        </is>
      </c>
      <c r="W16" t="inlineStr">
        <is>
          <t>Owned</t>
        </is>
      </c>
      <c r="X16" t="inlineStr">
        <is>
          <t>Balcony, Patio</t>
        </is>
      </c>
      <c r="Y16" t="inlineStr">
        <is>
          <t>SW</t>
        </is>
      </c>
      <c r="Z16" t="inlineStr">
        <is>
          <t>Built 2023 (3 yrs)</t>
        </is>
      </c>
      <c r="AA16" t="inlineStr">
        <is>
          <t>Gym, Party Room, Rooftop Deck, Visitor Parking, BBQ, Bike Storage, Concierge, Coin Laundry</t>
        </is>
      </c>
      <c r="AB16" s="54" t="n">
        <v>3000</v>
      </c>
      <c r="AC16" s="54" t="n">
        <v>3000</v>
      </c>
      <c r="AD16" s="220">
        <f>IFERROR(AB16/B16,"")</f>
        <v/>
      </c>
      <c r="AE16" s="220">
        <f>IFERROR(AC16/B16,"")</f>
        <v/>
      </c>
      <c r="AF16" t="inlineStr">
        <is>
          <t>No</t>
        </is>
      </c>
      <c r="AG16" t="inlineStr">
        <is>
          <t>No</t>
        </is>
      </c>
      <c r="AH16" t="inlineStr">
        <is>
          <t>No</t>
        </is>
      </c>
      <c r="AI16" s="226" t="inlineStr">
        <is>
          <t>2025-09-23</t>
        </is>
      </c>
      <c r="AJ16" t="inlineStr">
        <is>
          <t>W12057837</t>
        </is>
      </c>
      <c r="AK16" s="61" t="inlineStr">
        <is>
          <t>https://condos.ca/toronto/the-humber-10-wilby-crescent-10-wilby-cres/unit-2006-W12057837</t>
        </is>
      </c>
      <c r="AL16" t="inlineStr">
        <is>
          <t>Leased comp. SF: Verified (condos.ca per-unit).</t>
        </is>
      </c>
      <c r="AM16" t="inlineStr">
        <is>
          <t>Condo</t>
        </is>
      </c>
      <c r="AN16" s="227">
        <f>IFERROR(E16*(1+IF(AM16="Apartment",Data_Summary!$C$3,0)),"")</f>
        <v/>
      </c>
      <c r="AO16" s="226" t="n"/>
      <c r="AP16" t="inlineStr">
        <is>
          <t>Verified registered area</t>
        </is>
      </c>
      <c r="AQ16" t="inlineStr">
        <is>
          <t>condos.ca registered area</t>
        </is>
      </c>
      <c r="AS16" t="inlineStr">
        <is>
          <t>condos.ca per-unit registered area; used in $/SF. (template row)</t>
        </is>
      </c>
    </row>
    <row r="17" ht="15" customHeight="1">
      <c r="A17">
        <f>IF(AND(ISNUMBER(B17),B17&gt;0,ISNUMBER(AB17),AB17&gt;0,J17&gt;=Data_Summary!$C$1),1,0)</f>
        <v/>
      </c>
      <c r="B17" s="51" t="n">
        <v>663</v>
      </c>
      <c r="C17" s="26">
        <f>IF(ISNUMBER(AB17),AB17,"")</f>
        <v/>
      </c>
      <c r="D17" s="26">
        <f>IF(ISNUMBER(C17),C17-U17*Data_Summary!$C$2,"")</f>
        <v/>
      </c>
      <c r="E17" s="224">
        <f>IFERROR(C17/B17,"")</f>
        <v/>
      </c>
      <c r="F17" s="220">
        <f>IFERROR(D17/B17,"")</f>
        <v/>
      </c>
      <c r="G17">
        <f>Q17</f>
        <v/>
      </c>
      <c r="H17">
        <f>IFERROR(LEFT(G17,1),"")</f>
        <v/>
      </c>
      <c r="I17">
        <f>IF(LEN(G17)&gt;1,1,0)</f>
        <v/>
      </c>
      <c r="J17" s="225" t="n">
        <v>45905</v>
      </c>
      <c r="K17" t="inlineStr">
        <is>
          <t>The Humber</t>
        </is>
      </c>
      <c r="L17" t="inlineStr">
        <is>
          <t>10 Wilby Crescent</t>
        </is>
      </c>
      <c r="M17" t="inlineStr">
        <is>
          <t>Toronto (Weston)</t>
        </is>
      </c>
      <c r="N17" t="inlineStr">
        <is>
          <t>Options for Homes</t>
        </is>
      </c>
      <c r="O17" t="inlineStr">
        <is>
          <t>407</t>
        </is>
      </c>
      <c r="P17" t="inlineStr">
        <is>
          <t>407 - 10 Wilby Crescent</t>
        </is>
      </c>
      <c r="Q17" t="inlineStr">
        <is>
          <t>1+1</t>
        </is>
      </c>
      <c r="R17" t="n">
        <v>1</v>
      </c>
      <c r="S17" s="32" t="n">
        <v>663</v>
      </c>
      <c r="T17" t="inlineStr">
        <is>
          <t>600-699 sqft</t>
        </is>
      </c>
      <c r="U17" t="n">
        <v>1</v>
      </c>
      <c r="V17" t="inlineStr">
        <is>
          <t>Yes</t>
        </is>
      </c>
      <c r="W17" t="inlineStr">
        <is>
          <t>Owned</t>
        </is>
      </c>
      <c r="X17" t="inlineStr">
        <is>
          <t>Balcony, Patio</t>
        </is>
      </c>
      <c r="Y17" t="inlineStr">
        <is>
          <t>NE</t>
        </is>
      </c>
      <c r="Z17" t="inlineStr">
        <is>
          <t>Built 2023 (3 yrs)</t>
        </is>
      </c>
      <c r="AA17" t="inlineStr">
        <is>
          <t>Gym, Party Room, Rooftop Deck, Visitor Parking, BBQ, Bike Storage, Concierge, Coin Laundry</t>
        </is>
      </c>
      <c r="AB17" s="54" t="n">
        <v>2300</v>
      </c>
      <c r="AC17" s="54" t="n">
        <v>2300</v>
      </c>
      <c r="AD17" s="220">
        <f>IFERROR(AB17/B17,"")</f>
        <v/>
      </c>
      <c r="AE17" s="220">
        <f>IFERROR(AC17/B17,"")</f>
        <v/>
      </c>
      <c r="AF17" t="inlineStr">
        <is>
          <t>No</t>
        </is>
      </c>
      <c r="AG17" t="inlineStr">
        <is>
          <t>No</t>
        </is>
      </c>
      <c r="AH17" t="inlineStr">
        <is>
          <t>No</t>
        </is>
      </c>
      <c r="AI17" s="226" t="inlineStr">
        <is>
          <t>2025-09-05</t>
        </is>
      </c>
      <c r="AJ17" t="inlineStr">
        <is>
          <t>W12317619</t>
        </is>
      </c>
      <c r="AK17" t="inlineStr">
        <is>
          <t>https://condos.ca/toronto/the-humber-10-wilby-crescent-10-wilby-cres/unit-407-W12317619</t>
        </is>
      </c>
      <c r="AL17" t="inlineStr">
        <is>
          <t>Leased comp. SF: Verified (condos.ca per-unit).</t>
        </is>
      </c>
      <c r="AM17" t="inlineStr">
        <is>
          <t>Condo</t>
        </is>
      </c>
      <c r="AN17" s="227">
        <f>IFERROR(E17*(1+IF(AM17="Apartment",Data_Summary!$C$3,0)),"")</f>
        <v/>
      </c>
      <c r="AO17" s="226" t="n"/>
      <c r="AP17" t="inlineStr">
        <is>
          <t>Verified registered area</t>
        </is>
      </c>
      <c r="AQ17" t="inlineStr">
        <is>
          <t>condos.ca registered area</t>
        </is>
      </c>
      <c r="AS17" t="inlineStr">
        <is>
          <t>condos.ca per-unit registered area; used in $/SF. (template row)</t>
        </is>
      </c>
    </row>
    <row r="18" ht="15" customHeight="1">
      <c r="A18">
        <f>IF(AND(ISNUMBER(B18),B18&gt;0,ISNUMBER(AB18),AB18&gt;0,J18&gt;=Data_Summary!$C$1),1,0)</f>
        <v/>
      </c>
      <c r="B18" s="51" t="n">
        <v>588</v>
      </c>
      <c r="C18" s="26">
        <f>IF(ISNUMBER(AB18),AB18,"")</f>
        <v/>
      </c>
      <c r="D18" s="26">
        <f>IF(ISNUMBER(C18),C18-U18*Data_Summary!$C$2,"")</f>
        <v/>
      </c>
      <c r="E18" s="224">
        <f>IFERROR(C18/B18,"")</f>
        <v/>
      </c>
      <c r="F18" s="220">
        <f>IFERROR(D18/B18,"")</f>
        <v/>
      </c>
      <c r="G18">
        <f>Q18</f>
        <v/>
      </c>
      <c r="H18">
        <f>IFERROR(LEFT(G18,1),"")</f>
        <v/>
      </c>
      <c r="I18">
        <f>IF(LEN(G18)&gt;1,1,0)</f>
        <v/>
      </c>
      <c r="J18" s="225" t="n">
        <v>45887</v>
      </c>
      <c r="K18" t="inlineStr">
        <is>
          <t>The Humber</t>
        </is>
      </c>
      <c r="L18" t="inlineStr">
        <is>
          <t>10 Wilby Crescent</t>
        </is>
      </c>
      <c r="M18" t="inlineStr">
        <is>
          <t>Toronto (Weston)</t>
        </is>
      </c>
      <c r="N18" t="inlineStr">
        <is>
          <t>Options for Homes</t>
        </is>
      </c>
      <c r="O18" t="inlineStr">
        <is>
          <t>1204</t>
        </is>
      </c>
      <c r="P18" t="inlineStr">
        <is>
          <t>1204 - 10 Wilby Crescent</t>
        </is>
      </c>
      <c r="Q18" t="inlineStr">
        <is>
          <t>1+1</t>
        </is>
      </c>
      <c r="R18" t="n">
        <v>1</v>
      </c>
      <c r="S18" s="32" t="n">
        <v>588</v>
      </c>
      <c r="T18" t="inlineStr">
        <is>
          <t>500-599 sqft</t>
        </is>
      </c>
      <c r="U18" t="n">
        <v>0</v>
      </c>
      <c r="V18" t="inlineStr">
        <is>
          <t>No</t>
        </is>
      </c>
      <c r="W18" t="inlineStr">
        <is>
          <t>Owned</t>
        </is>
      </c>
      <c r="X18" t="inlineStr">
        <is>
          <t>Balcony, Patio</t>
        </is>
      </c>
      <c r="Y18" t="inlineStr">
        <is>
          <t>SW</t>
        </is>
      </c>
      <c r="Z18" t="inlineStr">
        <is>
          <t>Built 2023 (3 yrs)</t>
        </is>
      </c>
      <c r="AA18" t="inlineStr">
        <is>
          <t>Gym, Party Room, Rooftop Deck, Visitor Parking, BBQ, Bike Storage, Concierge, Coin Laundry</t>
        </is>
      </c>
      <c r="AB18" s="54" t="n">
        <v>2000</v>
      </c>
      <c r="AC18" s="54" t="n">
        <v>2000</v>
      </c>
      <c r="AD18" s="220">
        <f>IFERROR(AB18/B18,"")</f>
        <v/>
      </c>
      <c r="AE18" s="220">
        <f>IFERROR(AC18/B18,"")</f>
        <v/>
      </c>
      <c r="AF18" t="inlineStr">
        <is>
          <t>No</t>
        </is>
      </c>
      <c r="AG18" t="inlineStr">
        <is>
          <t>No</t>
        </is>
      </c>
      <c r="AH18" t="inlineStr">
        <is>
          <t>No</t>
        </is>
      </c>
      <c r="AI18" s="226" t="inlineStr">
        <is>
          <t>2025-08-18</t>
        </is>
      </c>
      <c r="AJ18" t="inlineStr">
        <is>
          <t>W12272427</t>
        </is>
      </c>
      <c r="AK18" t="inlineStr">
        <is>
          <t>https://condos.ca/toronto/the-humber-10-wilby-crescent-10-wilby-cres/unit-1204-W12272427</t>
        </is>
      </c>
      <c r="AL18" t="inlineStr">
        <is>
          <t>Leased comp. SF: Verified (condos.ca per-unit).</t>
        </is>
      </c>
      <c r="AM18" t="inlineStr">
        <is>
          <t>Condo</t>
        </is>
      </c>
      <c r="AN18" s="227">
        <f>IFERROR(E18*(1+IF(AM18="Apartment",Data_Summary!$C$3,0)),"")</f>
        <v/>
      </c>
      <c r="AO18" s="226" t="n"/>
      <c r="AP18" t="inlineStr">
        <is>
          <t>Verified registered area</t>
        </is>
      </c>
      <c r="AQ18" t="inlineStr">
        <is>
          <t>condos.ca registered area</t>
        </is>
      </c>
      <c r="AS18" t="inlineStr">
        <is>
          <t>condos.ca per-unit registered area; used in $/SF. (template row)</t>
        </is>
      </c>
    </row>
    <row r="19" ht="15" customHeight="1">
      <c r="A19">
        <f>IF(AND(ISNUMBER(B19),B19&gt;0,ISNUMBER(AB19),AB19&gt;0,J19&gt;=Data_Summary!$C$1),1,0)</f>
        <v/>
      </c>
      <c r="B19" s="51" t="n">
        <v>988</v>
      </c>
      <c r="C19" s="26">
        <f>IF(ISNUMBER(AB19),AB19,"")</f>
        <v/>
      </c>
      <c r="D19" s="26">
        <f>IF(ISNUMBER(C19),C19-U19*Data_Summary!$C$2,"")</f>
        <v/>
      </c>
      <c r="E19" s="224">
        <f>IFERROR(C19/B19,"")</f>
        <v/>
      </c>
      <c r="F19" s="220">
        <f>IFERROR(D19/B19,"")</f>
        <v/>
      </c>
      <c r="G19">
        <f>Q19</f>
        <v/>
      </c>
      <c r="H19">
        <f>IFERROR(LEFT(G19,1),"")</f>
        <v/>
      </c>
      <c r="I19">
        <f>IF(LEN(G19)&gt;1,1,0)</f>
        <v/>
      </c>
      <c r="J19" s="225" t="n">
        <v>45862</v>
      </c>
      <c r="K19" t="inlineStr">
        <is>
          <t>The Humber</t>
        </is>
      </c>
      <c r="L19" t="inlineStr">
        <is>
          <t>10 Wilby Crescent</t>
        </is>
      </c>
      <c r="M19" t="inlineStr">
        <is>
          <t>Toronto (Weston)</t>
        </is>
      </c>
      <c r="N19" t="inlineStr">
        <is>
          <t>Options for Homes</t>
        </is>
      </c>
      <c r="O19" t="inlineStr">
        <is>
          <t>906</t>
        </is>
      </c>
      <c r="P19" t="inlineStr">
        <is>
          <t>906 - 10 Wilby Crescent</t>
        </is>
      </c>
      <c r="Q19" t="inlineStr">
        <is>
          <t>3</t>
        </is>
      </c>
      <c r="R19" t="n">
        <v>2</v>
      </c>
      <c r="S19" s="32" t="n">
        <v>988</v>
      </c>
      <c r="T19" t="inlineStr">
        <is>
          <t>900-999 sqft</t>
        </is>
      </c>
      <c r="U19" t="n">
        <v>1</v>
      </c>
      <c r="V19" t="inlineStr">
        <is>
          <t>Yes</t>
        </is>
      </c>
      <c r="W19" t="inlineStr">
        <is>
          <t>Owned</t>
        </is>
      </c>
      <c r="X19" t="inlineStr">
        <is>
          <t>Balcony, Patio</t>
        </is>
      </c>
      <c r="Y19" t="inlineStr">
        <is>
          <t>SW</t>
        </is>
      </c>
      <c r="Z19" t="inlineStr">
        <is>
          <t>Built 2023 (3 yrs)</t>
        </is>
      </c>
      <c r="AA19" t="inlineStr">
        <is>
          <t>Gym, Party Room, Rooftop Deck, Visitor Parking, BBQ, Bike Storage, Concierge, Coin Laundry</t>
        </is>
      </c>
      <c r="AB19" s="54" t="n">
        <v>3200</v>
      </c>
      <c r="AC19" s="54" t="n">
        <v>3200</v>
      </c>
      <c r="AD19" s="220">
        <f>IFERROR(AB19/B19,"")</f>
        <v/>
      </c>
      <c r="AE19" s="220">
        <f>IFERROR(AC19/B19,"")</f>
        <v/>
      </c>
      <c r="AF19" t="inlineStr">
        <is>
          <t>No</t>
        </is>
      </c>
      <c r="AG19" t="inlineStr">
        <is>
          <t>No</t>
        </is>
      </c>
      <c r="AH19" t="inlineStr">
        <is>
          <t>No</t>
        </is>
      </c>
      <c r="AI19" s="226" t="inlineStr">
        <is>
          <t>2025-07-24</t>
        </is>
      </c>
      <c r="AJ19" t="inlineStr">
        <is>
          <t>W12276329</t>
        </is>
      </c>
      <c r="AK19" t="inlineStr">
        <is>
          <t>https://condos.ca/toronto/the-humber-10-wilby-crescent-10-wilby-cres/unit-906-W12276329</t>
        </is>
      </c>
      <c r="AL19" t="inlineStr">
        <is>
          <t>Leased comp. SF: Verified (condos.ca per-unit).</t>
        </is>
      </c>
      <c r="AM19" t="inlineStr">
        <is>
          <t>Condo</t>
        </is>
      </c>
      <c r="AN19" s="227">
        <f>IFERROR(E19*(1+IF(AM19="Apartment",Data_Summary!$C$3,0)),"")</f>
        <v/>
      </c>
      <c r="AO19" s="226" t="n"/>
      <c r="AP19" t="inlineStr">
        <is>
          <t>Verified registered area</t>
        </is>
      </c>
      <c r="AQ19" t="inlineStr">
        <is>
          <t>condos.ca registered area</t>
        </is>
      </c>
      <c r="AS19" t="inlineStr">
        <is>
          <t>condos.ca per-unit registered area; used in $/SF. (template row)</t>
        </is>
      </c>
    </row>
    <row r="20" ht="15" customHeight="1">
      <c r="A20">
        <f>IF(AND(ISNUMBER(B20),B20&gt;0,ISNUMBER(AB20),AB20&gt;0,J20&gt;=Data_Summary!$C$1),1,0)</f>
        <v/>
      </c>
      <c r="B20" s="51" t="n">
        <v>797</v>
      </c>
      <c r="C20" s="26">
        <f>IF(ISNUMBER(AB20),AB20,"")</f>
        <v/>
      </c>
      <c r="D20" s="26">
        <f>IF(ISNUMBER(C20),C20-U20*Data_Summary!$C$2,"")</f>
        <v/>
      </c>
      <c r="E20" s="224">
        <f>IFERROR(C20/B20,"")</f>
        <v/>
      </c>
      <c r="F20" s="220">
        <f>IFERROR(D20/B20,"")</f>
        <v/>
      </c>
      <c r="G20">
        <f>Q20</f>
        <v/>
      </c>
      <c r="H20">
        <f>IFERROR(LEFT(G20,1),"")</f>
        <v/>
      </c>
      <c r="I20">
        <f>IF(LEN(G20)&gt;1,1,0)</f>
        <v/>
      </c>
      <c r="J20" s="225" t="n">
        <v>45841</v>
      </c>
      <c r="K20" t="inlineStr">
        <is>
          <t>The Humber</t>
        </is>
      </c>
      <c r="L20" t="inlineStr">
        <is>
          <t>10 Wilby Crescent</t>
        </is>
      </c>
      <c r="M20" t="inlineStr">
        <is>
          <t>Toronto (Weston)</t>
        </is>
      </c>
      <c r="N20" t="inlineStr">
        <is>
          <t>Options for Homes</t>
        </is>
      </c>
      <c r="O20" t="inlineStr">
        <is>
          <t>901</t>
        </is>
      </c>
      <c r="P20" t="inlineStr">
        <is>
          <t>901 - 10 Wilby Crescent</t>
        </is>
      </c>
      <c r="Q20" t="inlineStr">
        <is>
          <t>2</t>
        </is>
      </c>
      <c r="R20" t="n">
        <v>2</v>
      </c>
      <c r="S20" s="32" t="n">
        <v>797</v>
      </c>
      <c r="T20" t="inlineStr">
        <is>
          <t>700-799 sqft</t>
        </is>
      </c>
      <c r="U20" t="n">
        <v>1</v>
      </c>
      <c r="V20" t="inlineStr">
        <is>
          <t>Yes</t>
        </is>
      </c>
      <c r="W20" t="inlineStr">
        <is>
          <t>Owned</t>
        </is>
      </c>
      <c r="X20" t="inlineStr">
        <is>
          <t>Balcony, Patio</t>
        </is>
      </c>
      <c r="Y20" t="inlineStr">
        <is>
          <t>NE</t>
        </is>
      </c>
      <c r="Z20" t="inlineStr">
        <is>
          <t>Built 2023 (3 yrs)</t>
        </is>
      </c>
      <c r="AA20" t="inlineStr">
        <is>
          <t>Gym, Party Room, Rooftop Deck, Visitor Parking, BBQ, Bike Storage, Concierge, Coin Laundry</t>
        </is>
      </c>
      <c r="AB20" s="54" t="n">
        <v>2500</v>
      </c>
      <c r="AC20" s="54" t="n">
        <v>2500</v>
      </c>
      <c r="AD20" s="220">
        <f>IFERROR(AB20/B20,"")</f>
        <v/>
      </c>
      <c r="AE20" s="220">
        <f>IFERROR(AC20/B20,"")</f>
        <v/>
      </c>
      <c r="AF20" t="inlineStr">
        <is>
          <t>No</t>
        </is>
      </c>
      <c r="AG20" t="inlineStr">
        <is>
          <t>No</t>
        </is>
      </c>
      <c r="AH20" t="inlineStr">
        <is>
          <t>No</t>
        </is>
      </c>
      <c r="AI20" s="226" t="inlineStr">
        <is>
          <t>2025-07-03</t>
        </is>
      </c>
      <c r="AJ20" t="inlineStr">
        <is>
          <t>W12216889</t>
        </is>
      </c>
      <c r="AK20" t="inlineStr">
        <is>
          <t>https://condos.ca/toronto/the-humber-10-wilby-crescent-10-wilby-cres/unit-901-W12216889</t>
        </is>
      </c>
      <c r="AL20" t="inlineStr">
        <is>
          <t>Leased comp. SF: Verified (condos.ca per-unit).</t>
        </is>
      </c>
      <c r="AM20" t="inlineStr">
        <is>
          <t>Condo</t>
        </is>
      </c>
      <c r="AN20" s="227">
        <f>IFERROR(E20*(1+IF(AM20="Apartment",Data_Summary!$C$3,0)),"")</f>
        <v/>
      </c>
      <c r="AO20" s="226" t="n"/>
      <c r="AP20" t="inlineStr">
        <is>
          <t>Verified registered area</t>
        </is>
      </c>
      <c r="AQ20" t="inlineStr">
        <is>
          <t>condos.ca registered area</t>
        </is>
      </c>
      <c r="AS20" t="inlineStr">
        <is>
          <t>condos.ca per-unit registered area; used in $/SF. (template row)</t>
        </is>
      </c>
    </row>
    <row r="21" ht="15" customHeight="1">
      <c r="A21">
        <f>IF(AND(ISNUMBER(B21),B21&gt;0,ISNUMBER(AB21),AB21&gt;0,J21&gt;=Data_Summary!$C$1),1,0)</f>
        <v/>
      </c>
      <c r="B21" s="51" t="n">
        <v>816</v>
      </c>
      <c r="C21" s="26">
        <f>IF(ISNUMBER(AB21),AB21,"")</f>
        <v/>
      </c>
      <c r="D21" s="26">
        <f>IF(ISNUMBER(C21),C21-U21*Data_Summary!$C$2,"")</f>
        <v/>
      </c>
      <c r="E21" s="224">
        <f>IFERROR(C21/B21,"")</f>
        <v/>
      </c>
      <c r="F21" s="220">
        <f>IFERROR(D21/B21,"")</f>
        <v/>
      </c>
      <c r="G21">
        <f>Q21</f>
        <v/>
      </c>
      <c r="H21">
        <f>IFERROR(LEFT(G21,1),"")</f>
        <v/>
      </c>
      <c r="I21">
        <f>IF(LEN(G21)&gt;1,1,0)</f>
        <v/>
      </c>
      <c r="J21" s="225" t="n">
        <v>45834</v>
      </c>
      <c r="K21" t="inlineStr">
        <is>
          <t>The Humber</t>
        </is>
      </c>
      <c r="L21" t="inlineStr">
        <is>
          <t>10 Wilby Crescent</t>
        </is>
      </c>
      <c r="M21" t="inlineStr">
        <is>
          <t>Toronto (Weston)</t>
        </is>
      </c>
      <c r="N21" t="inlineStr">
        <is>
          <t>Options for Homes</t>
        </is>
      </c>
      <c r="O21" t="inlineStr">
        <is>
          <t>9</t>
        </is>
      </c>
      <c r="P21" t="inlineStr">
        <is>
          <t>9 - 10 Wilby Crescent</t>
        </is>
      </c>
      <c r="Q21" t="inlineStr">
        <is>
          <t>2</t>
        </is>
      </c>
      <c r="R21" t="n">
        <v>2</v>
      </c>
      <c r="S21" s="32" t="n">
        <v>816</v>
      </c>
      <c r="T21" t="inlineStr">
        <is>
          <t>800-899 sqft</t>
        </is>
      </c>
      <c r="U21" t="n">
        <v>0</v>
      </c>
      <c r="V21" t="inlineStr">
        <is>
          <t>No</t>
        </is>
      </c>
      <c r="W21" t="inlineStr">
        <is>
          <t>None</t>
        </is>
      </c>
      <c r="X21" t="inlineStr">
        <is>
          <t>Balcony, Patio</t>
        </is>
      </c>
      <c r="Y21" t="inlineStr">
        <is>
          <t>E</t>
        </is>
      </c>
      <c r="Z21" t="inlineStr">
        <is>
          <t>Built 2023 (3 yrs)</t>
        </is>
      </c>
      <c r="AA21" t="inlineStr">
        <is>
          <t>Gym, Party Room, Rooftop Deck, Visitor Parking, BBQ, Bike Storage, Concierge, Coin Laundry</t>
        </is>
      </c>
      <c r="AB21" s="54" t="n">
        <v>2400</v>
      </c>
      <c r="AC21" s="54" t="n">
        <v>2400</v>
      </c>
      <c r="AD21" s="220">
        <f>IFERROR(AB21/B21,"")</f>
        <v/>
      </c>
      <c r="AE21" s="220">
        <f>IFERROR(AC21/B21,"")</f>
        <v/>
      </c>
      <c r="AF21" t="inlineStr">
        <is>
          <t>No</t>
        </is>
      </c>
      <c r="AG21" t="inlineStr">
        <is>
          <t>No</t>
        </is>
      </c>
      <c r="AH21" t="inlineStr">
        <is>
          <t>No</t>
        </is>
      </c>
      <c r="AI21" s="226" t="inlineStr">
        <is>
          <t>2025-06-26</t>
        </is>
      </c>
      <c r="AJ21" t="inlineStr">
        <is>
          <t>W12049546</t>
        </is>
      </c>
      <c r="AK21" t="inlineStr">
        <is>
          <t>https://condos.ca/toronto/the-humber-10-wilby-crescent-10-wilby-cres/unit-9-W12049546</t>
        </is>
      </c>
      <c r="AL21" t="inlineStr">
        <is>
          <t>Leased comp. SF: Verified (condos.ca per-unit).</t>
        </is>
      </c>
      <c r="AM21" t="inlineStr">
        <is>
          <t>Condo</t>
        </is>
      </c>
      <c r="AN21" s="227">
        <f>IFERROR(E21*(1+IF(AM21="Apartment",Data_Summary!$C$3,0)),"")</f>
        <v/>
      </c>
      <c r="AO21" s="226" t="n"/>
      <c r="AP21" t="inlineStr">
        <is>
          <t>Verified registered area</t>
        </is>
      </c>
      <c r="AQ21" t="inlineStr">
        <is>
          <t>condos.ca registered area</t>
        </is>
      </c>
      <c r="AS21" t="inlineStr">
        <is>
          <t>condos.ca per-unit registered area; used in $/SF. (template row)</t>
        </is>
      </c>
    </row>
    <row r="22" ht="15" customHeight="1">
      <c r="A22">
        <f>IF(AND(ISNUMBER(B22),B22&gt;0,ISNUMBER(AB22),AB22&gt;0,J22&gt;=Data_Summary!$C$1),1,0)</f>
        <v/>
      </c>
      <c r="B22" s="51" t="n">
        <v>617</v>
      </c>
      <c r="C22" s="26">
        <f>IF(ISNUMBER(AB22),AB22,"")</f>
        <v/>
      </c>
      <c r="D22" s="26">
        <f>IF(ISNUMBER(C22),C22-U22*Data_Summary!$C$2,"")</f>
        <v/>
      </c>
      <c r="E22" s="224">
        <f>IFERROR(C22/B22,"")</f>
        <v/>
      </c>
      <c r="F22" s="220">
        <f>IFERROR(D22/B22,"")</f>
        <v/>
      </c>
      <c r="G22">
        <f>Q22</f>
        <v/>
      </c>
      <c r="H22">
        <f>IFERROR(LEFT(G22,1),"")</f>
        <v/>
      </c>
      <c r="I22">
        <f>IF(LEN(G22)&gt;1,1,0)</f>
        <v/>
      </c>
      <c r="J22" s="225" t="n">
        <v>45791</v>
      </c>
      <c r="K22" t="inlineStr">
        <is>
          <t>The Humber</t>
        </is>
      </c>
      <c r="L22" t="inlineStr">
        <is>
          <t>10 Wilby Crescent</t>
        </is>
      </c>
      <c r="M22" t="inlineStr">
        <is>
          <t>Toronto (Weston)</t>
        </is>
      </c>
      <c r="N22" t="inlineStr">
        <is>
          <t>Options for Homes</t>
        </is>
      </c>
      <c r="O22" t="inlineStr">
        <is>
          <t>204</t>
        </is>
      </c>
      <c r="P22" t="inlineStr">
        <is>
          <t>204 - 10 Wilby Crescent</t>
        </is>
      </c>
      <c r="Q22" t="inlineStr">
        <is>
          <t>1</t>
        </is>
      </c>
      <c r="R22" t="n">
        <v>1</v>
      </c>
      <c r="S22" s="32" t="n">
        <v>617</v>
      </c>
      <c r="T22" t="inlineStr">
        <is>
          <t>600-699 sqft</t>
        </is>
      </c>
      <c r="U22" t="n">
        <v>1</v>
      </c>
      <c r="V22" t="inlineStr">
        <is>
          <t>Yes</t>
        </is>
      </c>
      <c r="W22" t="inlineStr">
        <is>
          <t>Owned</t>
        </is>
      </c>
      <c r="X22" t="inlineStr">
        <is>
          <t>Balcony, Patio</t>
        </is>
      </c>
      <c r="Y22" t="inlineStr">
        <is>
          <t>E</t>
        </is>
      </c>
      <c r="Z22" t="inlineStr">
        <is>
          <t>Built 2023 (3 yrs)</t>
        </is>
      </c>
      <c r="AA22" t="inlineStr">
        <is>
          <t>Gym, Party Room, Rooftop Deck, Visitor Parking, BBQ, Bike Storage, Concierge, Coin Laundry</t>
        </is>
      </c>
      <c r="AB22" s="54" t="n">
        <v>2100</v>
      </c>
      <c r="AC22" s="54" t="n">
        <v>2100</v>
      </c>
      <c r="AD22" s="220">
        <f>IFERROR(AB22/B22,"")</f>
        <v/>
      </c>
      <c r="AE22" s="220">
        <f>IFERROR(AC22/B22,"")</f>
        <v/>
      </c>
      <c r="AF22" t="inlineStr">
        <is>
          <t>No</t>
        </is>
      </c>
      <c r="AG22" t="inlineStr">
        <is>
          <t>No</t>
        </is>
      </c>
      <c r="AH22" t="inlineStr">
        <is>
          <t>No</t>
        </is>
      </c>
      <c r="AI22" s="226" t="inlineStr">
        <is>
          <t>2025-05-14</t>
        </is>
      </c>
      <c r="AJ22" t="inlineStr">
        <is>
          <t>W12051218</t>
        </is>
      </c>
      <c r="AK22" t="inlineStr">
        <is>
          <t>https://condos.ca/toronto/the-humber-10-wilby-crescent-10-wilby-cres/unit-204-W12051218</t>
        </is>
      </c>
      <c r="AL22" t="inlineStr">
        <is>
          <t>Leased comp. SF: Verified (condos.ca per-unit).</t>
        </is>
      </c>
      <c r="AM22" t="inlineStr">
        <is>
          <t>Condo</t>
        </is>
      </c>
      <c r="AN22" s="227">
        <f>IFERROR(E22*(1+IF(AM22="Apartment",Data_Summary!$C$3,0)),"")</f>
        <v/>
      </c>
      <c r="AO22" s="226" t="n"/>
      <c r="AP22" t="inlineStr">
        <is>
          <t>Verified registered area</t>
        </is>
      </c>
      <c r="AQ22" t="inlineStr">
        <is>
          <t>condos.ca registered area</t>
        </is>
      </c>
      <c r="AS22" t="inlineStr">
        <is>
          <t>condos.ca per-unit registered area; used in $/SF. (template row)</t>
        </is>
      </c>
    </row>
    <row r="23" ht="15" customHeight="1">
      <c r="A23">
        <f>IF(AND(ISNUMBER(B23),B23&gt;0,ISNUMBER(AB23),AB23&gt;0,J23&gt;=Data_Summary!$C$1),1,0)</f>
        <v/>
      </c>
      <c r="B23" s="55" t="n">
        <v>751</v>
      </c>
      <c r="C23" s="26">
        <f>IF(ISNUMBER(AB23),AB23,"")</f>
        <v/>
      </c>
      <c r="D23" s="26">
        <f>IF(ISNUMBER(C23),C23-U23*Data_Summary!$C$2,"")</f>
        <v/>
      </c>
      <c r="E23" s="228">
        <f>IFERROR(C23/B23,"")</f>
        <v/>
      </c>
      <c r="F23" s="220">
        <f>IFERROR(D23/B23,"")</f>
        <v/>
      </c>
      <c r="G23">
        <f>Q23</f>
        <v/>
      </c>
      <c r="H23">
        <f>IFERROR(LEFT(G23,1),"")</f>
        <v/>
      </c>
      <c r="I23">
        <f>IF(LEN(G23)&gt;1,1,0)</f>
        <v/>
      </c>
      <c r="J23" s="225" t="n">
        <v>45770</v>
      </c>
      <c r="K23" t="inlineStr">
        <is>
          <t>The Humber</t>
        </is>
      </c>
      <c r="L23" t="inlineStr">
        <is>
          <t>10 Wilby Crescent</t>
        </is>
      </c>
      <c r="M23" t="inlineStr">
        <is>
          <t>Toronto (Weston)</t>
        </is>
      </c>
      <c r="N23" t="inlineStr">
        <is>
          <t>Options for Homes</t>
        </is>
      </c>
      <c r="O23" t="inlineStr">
        <is>
          <t>502</t>
        </is>
      </c>
      <c r="P23" t="inlineStr">
        <is>
          <t>502 - 10 Wilby Crescent</t>
        </is>
      </c>
      <c r="Q23" t="inlineStr">
        <is>
          <t>2</t>
        </is>
      </c>
      <c r="R23" t="n">
        <v>2</v>
      </c>
      <c r="S23" s="32" t="n">
        <v>751</v>
      </c>
      <c r="T23" t="inlineStr">
        <is>
          <t>700-799 sqft</t>
        </is>
      </c>
      <c r="U23" t="n">
        <v>1</v>
      </c>
      <c r="V23" t="inlineStr">
        <is>
          <t>Yes</t>
        </is>
      </c>
      <c r="W23" t="inlineStr">
        <is>
          <t>Owned</t>
        </is>
      </c>
      <c r="X23" t="inlineStr">
        <is>
          <t>Balcony, Patio</t>
        </is>
      </c>
      <c r="Y23" t="inlineStr">
        <is>
          <t>NE</t>
        </is>
      </c>
      <c r="Z23" t="inlineStr">
        <is>
          <t>Built 2023 (3 yrs)</t>
        </is>
      </c>
      <c r="AA23" t="inlineStr">
        <is>
          <t>Gym, Party Room, Rooftop Deck, Visitor Parking, BBQ, Bike Storage, Concierge, Coin Laundry</t>
        </is>
      </c>
      <c r="AB23" s="54" t="n">
        <v>2500</v>
      </c>
      <c r="AC23" s="54" t="n">
        <v>2500</v>
      </c>
      <c r="AD23" s="220">
        <f>IFERROR(AB23/B23,"")</f>
        <v/>
      </c>
      <c r="AE23" s="220">
        <f>IFERROR(AC23/B23,"")</f>
        <v/>
      </c>
      <c r="AF23" t="inlineStr">
        <is>
          <t>No</t>
        </is>
      </c>
      <c r="AG23" t="inlineStr">
        <is>
          <t>No</t>
        </is>
      </c>
      <c r="AH23" t="inlineStr">
        <is>
          <t>No</t>
        </is>
      </c>
      <c r="AI23" s="226" t="inlineStr">
        <is>
          <t>2025-04-23</t>
        </is>
      </c>
      <c r="AJ23" t="inlineStr">
        <is>
          <t>W12042837</t>
        </is>
      </c>
      <c r="AK23" t="inlineStr">
        <is>
          <t>https://condos.ca/toronto/the-humber-10-wilby-crescent-10-wilby-cres/unit-502-W12042837</t>
        </is>
      </c>
      <c r="AL23" t="inlineStr">
        <is>
          <t>Leased comp. SF: Verified (condos.ca per-unit).</t>
        </is>
      </c>
      <c r="AM23" t="inlineStr">
        <is>
          <t>Condo</t>
        </is>
      </c>
      <c r="AN23" s="227">
        <f>IFERROR(E23*(1+IF(AM23="Apartment",Data_Summary!$C$3,0)),"")</f>
        <v/>
      </c>
      <c r="AO23" s="226" t="n"/>
      <c r="AP23" t="inlineStr">
        <is>
          <t>Verified registered area</t>
        </is>
      </c>
      <c r="AQ23" t="inlineStr">
        <is>
          <t>condos.ca registered area</t>
        </is>
      </c>
      <c r="AS23" t="inlineStr">
        <is>
          <t>condos.ca per-unit registered area; used in $/SF. (template row)</t>
        </is>
      </c>
    </row>
    <row r="24" ht="15" customHeight="1">
      <c r="A24">
        <f>IF(AND(ISNUMBER(B24),B24&gt;0,ISNUMBER(AB24),AB24&gt;0,J24&gt;=Data_Summary!$C$1),1,0)</f>
        <v/>
      </c>
      <c r="B24" s="55" t="n">
        <v>694</v>
      </c>
      <c r="C24" s="26">
        <f>IF(ISNUMBER(AB24),AB24,"")</f>
        <v/>
      </c>
      <c r="D24" s="26">
        <f>IF(ISNUMBER(C24),C24-U24*Data_Summary!$C$2,"")</f>
        <v/>
      </c>
      <c r="E24" s="228">
        <f>IFERROR(C24/B24,"")</f>
        <v/>
      </c>
      <c r="F24" s="220">
        <f>IFERROR(D24/B24,"")</f>
        <v/>
      </c>
      <c r="G24">
        <f>Q24</f>
        <v/>
      </c>
      <c r="H24">
        <f>IFERROR(LEFT(G24,1),"")</f>
        <v/>
      </c>
      <c r="I24">
        <f>IF(LEN(G24)&gt;1,1,0)</f>
        <v/>
      </c>
      <c r="J24" s="225" t="n">
        <v>45769</v>
      </c>
      <c r="K24" t="inlineStr">
        <is>
          <t>The Humber</t>
        </is>
      </c>
      <c r="L24" t="inlineStr">
        <is>
          <t>10 Wilby Crescent</t>
        </is>
      </c>
      <c r="M24" t="inlineStr">
        <is>
          <t>Toronto (Weston)</t>
        </is>
      </c>
      <c r="N24" t="inlineStr">
        <is>
          <t>Options for Homes</t>
        </is>
      </c>
      <c r="O24" t="inlineStr">
        <is>
          <t>2202</t>
        </is>
      </c>
      <c r="P24" t="inlineStr">
        <is>
          <t>2202 - 10 Wilby Crescent</t>
        </is>
      </c>
      <c r="Q24" t="inlineStr">
        <is>
          <t>2</t>
        </is>
      </c>
      <c r="R24" t="n">
        <v>2</v>
      </c>
      <c r="S24" s="32" t="n">
        <v>694</v>
      </c>
      <c r="T24" t="inlineStr">
        <is>
          <t>600-699 sqft</t>
        </is>
      </c>
      <c r="U24" t="n">
        <v>1</v>
      </c>
      <c r="V24" t="inlineStr">
        <is>
          <t>Yes</t>
        </is>
      </c>
      <c r="W24" t="inlineStr">
        <is>
          <t>Owned</t>
        </is>
      </c>
      <c r="X24" t="inlineStr">
        <is>
          <t>Balcony, Patio</t>
        </is>
      </c>
      <c r="Y24" t="inlineStr">
        <is>
          <t>NE</t>
        </is>
      </c>
      <c r="Z24" t="inlineStr">
        <is>
          <t>Built 2023 (3 yrs)</t>
        </is>
      </c>
      <c r="AA24" t="inlineStr">
        <is>
          <t>Gym, Party Room, Rooftop Deck, Visitor Parking, BBQ, Bike Storage, Concierge, Coin Laundry</t>
        </is>
      </c>
      <c r="AB24" s="54" t="n">
        <v>2400</v>
      </c>
      <c r="AC24" s="54" t="n">
        <v>2400</v>
      </c>
      <c r="AD24" s="220">
        <f>IFERROR(AB24/B24,"")</f>
        <v/>
      </c>
      <c r="AE24" s="220">
        <f>IFERROR(AC24/B24,"")</f>
        <v/>
      </c>
      <c r="AF24" t="inlineStr">
        <is>
          <t>No</t>
        </is>
      </c>
      <c r="AG24" t="inlineStr">
        <is>
          <t>No</t>
        </is>
      </c>
      <c r="AH24" t="inlineStr">
        <is>
          <t>No</t>
        </is>
      </c>
      <c r="AI24" s="226" t="inlineStr">
        <is>
          <t>2025-04-22</t>
        </is>
      </c>
      <c r="AJ24" t="inlineStr">
        <is>
          <t>W12018074</t>
        </is>
      </c>
      <c r="AK24" t="inlineStr">
        <is>
          <t>https://condos.ca/toronto/the-humber-10-wilby-crescent-10-wilby-cres/unit-2202-W12018074</t>
        </is>
      </c>
      <c r="AL24" t="inlineStr">
        <is>
          <t>Leased comp. SF: Verified (condos.ca per-unit).</t>
        </is>
      </c>
      <c r="AM24" t="inlineStr">
        <is>
          <t>Condo</t>
        </is>
      </c>
      <c r="AN24" s="227">
        <f>IFERROR(E24*(1+IF(AM24="Apartment",Data_Summary!$C$3,0)),"")</f>
        <v/>
      </c>
      <c r="AO24" s="226" t="n"/>
      <c r="AP24" t="inlineStr">
        <is>
          <t>Verified registered area</t>
        </is>
      </c>
      <c r="AQ24" t="inlineStr">
        <is>
          <t>condos.ca registered area</t>
        </is>
      </c>
      <c r="AS24" t="inlineStr">
        <is>
          <t>condos.ca per-unit registered area; used in $/SF. (template row)</t>
        </is>
      </c>
    </row>
    <row r="25" ht="15" customHeight="1">
      <c r="A25">
        <f>IF(AND(ISNUMBER(B25),B25&gt;0,ISNUMBER(AB25),AB25&gt;0,J25&gt;=Data_Summary!$C$1),1,0)</f>
        <v/>
      </c>
      <c r="B25" s="55" t="n">
        <v>715</v>
      </c>
      <c r="C25" s="26">
        <f>IF(ISNUMBER(AB25),AB25,"")</f>
        <v/>
      </c>
      <c r="D25" s="26">
        <f>IF(ISNUMBER(C25),C25-U25*Data_Summary!$C$2,"")</f>
        <v/>
      </c>
      <c r="E25" s="228">
        <f>IFERROR(C25/B25,"")</f>
        <v/>
      </c>
      <c r="F25" s="220">
        <f>IFERROR(D25/B25,"")</f>
        <v/>
      </c>
      <c r="G25">
        <f>Q25</f>
        <v/>
      </c>
      <c r="H25">
        <f>IFERROR(LEFT(G25,1),"")</f>
        <v/>
      </c>
      <c r="I25">
        <f>IF(LEN(G25)&gt;1,1,0)</f>
        <v/>
      </c>
      <c r="J25" s="225" t="n">
        <v>45763</v>
      </c>
      <c r="K25" t="inlineStr">
        <is>
          <t>The Humber</t>
        </is>
      </c>
      <c r="L25" t="inlineStr">
        <is>
          <t>10 Wilby Crescent</t>
        </is>
      </c>
      <c r="M25" t="inlineStr">
        <is>
          <t>Toronto (Weston)</t>
        </is>
      </c>
      <c r="N25" t="inlineStr">
        <is>
          <t>Options for Homes</t>
        </is>
      </c>
      <c r="O25" t="inlineStr">
        <is>
          <t>1407</t>
        </is>
      </c>
      <c r="P25" t="inlineStr">
        <is>
          <t>1407 - 10 Wilby Crescent</t>
        </is>
      </c>
      <c r="Q25" t="inlineStr">
        <is>
          <t>2</t>
        </is>
      </c>
      <c r="R25" t="n">
        <v>2</v>
      </c>
      <c r="S25" s="32" t="n">
        <v>715</v>
      </c>
      <c r="T25" t="inlineStr">
        <is>
          <t>700-799 sqft</t>
        </is>
      </c>
      <c r="U25" t="n">
        <v>0</v>
      </c>
      <c r="V25" t="inlineStr">
        <is>
          <t>No</t>
        </is>
      </c>
      <c r="W25" t="inlineStr">
        <is>
          <t>None</t>
        </is>
      </c>
      <c r="X25" t="inlineStr">
        <is>
          <t>Balcony, Patio</t>
        </is>
      </c>
      <c r="Y25" t="inlineStr">
        <is>
          <t>NE</t>
        </is>
      </c>
      <c r="Z25" t="inlineStr">
        <is>
          <t>Built 2023 (3 yrs)</t>
        </is>
      </c>
      <c r="AA25" t="inlineStr">
        <is>
          <t>Gym, Party Room, Rooftop Deck, Visitor Parking, BBQ, Bike Storage, Concierge, Coin Laundry</t>
        </is>
      </c>
      <c r="AB25" s="54" t="n">
        <v>2600</v>
      </c>
      <c r="AC25" s="54" t="n">
        <v>2600</v>
      </c>
      <c r="AD25" s="220">
        <f>IFERROR(AB25/B25,"")</f>
        <v/>
      </c>
      <c r="AE25" s="220">
        <f>IFERROR(AC25/B25,"")</f>
        <v/>
      </c>
      <c r="AF25" t="inlineStr">
        <is>
          <t>No</t>
        </is>
      </c>
      <c r="AG25" t="inlineStr">
        <is>
          <t>No</t>
        </is>
      </c>
      <c r="AH25" t="inlineStr">
        <is>
          <t>No</t>
        </is>
      </c>
      <c r="AI25" s="226" t="inlineStr">
        <is>
          <t>2025-04-16</t>
        </is>
      </c>
      <c r="AJ25" t="inlineStr">
        <is>
          <t>W12013340</t>
        </is>
      </c>
      <c r="AK25" t="inlineStr">
        <is>
          <t>https://condos.ca/toronto/the-humber-10-wilby-crescent-10-wilby-cres/unit-1407-W12013340</t>
        </is>
      </c>
      <c r="AL25" t="inlineStr">
        <is>
          <t>Leased comp. SF: Verified (condos.ca per-unit).</t>
        </is>
      </c>
      <c r="AM25" t="inlineStr">
        <is>
          <t>Condo</t>
        </is>
      </c>
      <c r="AN25" s="227">
        <f>IFERROR(E25*(1+IF(AM25="Apartment",Data_Summary!$C$3,0)),"")</f>
        <v/>
      </c>
      <c r="AO25" s="226" t="n"/>
      <c r="AP25" t="inlineStr">
        <is>
          <t>Verified registered area</t>
        </is>
      </c>
      <c r="AQ25" t="inlineStr">
        <is>
          <t>condos.ca registered area</t>
        </is>
      </c>
      <c r="AS25" t="inlineStr">
        <is>
          <t>condos.ca per-unit registered area; used in $/SF. (template row)</t>
        </is>
      </c>
    </row>
    <row r="26" ht="15" customHeight="1">
      <c r="A26">
        <f>IF(AND(ISNUMBER(B26),B26&gt;0,ISNUMBER(AB26),AB26&gt;0,J26&gt;=Data_Summary!$C$1),1,0)</f>
        <v/>
      </c>
      <c r="B26" s="55" t="n">
        <v>694</v>
      </c>
      <c r="C26" s="26">
        <f>IF(ISNUMBER(AB26),AB26,"")</f>
        <v/>
      </c>
      <c r="D26" s="26">
        <f>IF(ISNUMBER(C26),C26-U26*Data_Summary!$C$2,"")</f>
        <v/>
      </c>
      <c r="E26" s="228">
        <f>IFERROR(C26/B26,"")</f>
        <v/>
      </c>
      <c r="F26" s="220">
        <f>IFERROR(D26/B26,"")</f>
        <v/>
      </c>
      <c r="G26">
        <f>Q26</f>
        <v/>
      </c>
      <c r="H26">
        <f>IFERROR(LEFT(G26,1),"")</f>
        <v/>
      </c>
      <c r="I26">
        <f>IF(LEN(G26)&gt;1,1,0)</f>
        <v/>
      </c>
      <c r="J26" s="225" t="n">
        <v>45758</v>
      </c>
      <c r="K26" t="inlineStr">
        <is>
          <t>The Humber</t>
        </is>
      </c>
      <c r="L26" t="inlineStr">
        <is>
          <t>10 Wilby Crescent</t>
        </is>
      </c>
      <c r="M26" t="inlineStr">
        <is>
          <t>Toronto (Weston)</t>
        </is>
      </c>
      <c r="N26" t="inlineStr">
        <is>
          <t>Options for Homes</t>
        </is>
      </c>
      <c r="O26" t="inlineStr">
        <is>
          <t>309</t>
        </is>
      </c>
      <c r="P26" t="inlineStr">
        <is>
          <t>309 - 10 Wilby Crescent</t>
        </is>
      </c>
      <c r="Q26" t="inlineStr">
        <is>
          <t>1+1</t>
        </is>
      </c>
      <c r="R26" t="n">
        <v>1</v>
      </c>
      <c r="S26" s="32" t="n">
        <v>694</v>
      </c>
      <c r="T26" t="inlineStr">
        <is>
          <t>600-699 sqft</t>
        </is>
      </c>
      <c r="U26" t="n">
        <v>0</v>
      </c>
      <c r="V26" t="inlineStr">
        <is>
          <t>No</t>
        </is>
      </c>
      <c r="W26" t="inlineStr">
        <is>
          <t>None</t>
        </is>
      </c>
      <c r="X26" t="inlineStr">
        <is>
          <t>Balcony, Patio</t>
        </is>
      </c>
      <c r="Y26" t="inlineStr">
        <is>
          <t>SW</t>
        </is>
      </c>
      <c r="Z26" t="inlineStr">
        <is>
          <t>Built 2023 (3 yrs)</t>
        </is>
      </c>
      <c r="AA26" t="inlineStr">
        <is>
          <t>Gym, Party Room, Rooftop Deck, Visitor Parking, BBQ, Bike Storage, Concierge, Coin Laundry</t>
        </is>
      </c>
      <c r="AB26" s="54" t="n">
        <v>2150</v>
      </c>
      <c r="AC26" s="54" t="n">
        <v>2150</v>
      </c>
      <c r="AD26" s="220">
        <f>IFERROR(AB26/B26,"")</f>
        <v/>
      </c>
      <c r="AE26" s="220">
        <f>IFERROR(AC26/B26,"")</f>
        <v/>
      </c>
      <c r="AF26" t="inlineStr">
        <is>
          <t>No</t>
        </is>
      </c>
      <c r="AG26" t="inlineStr">
        <is>
          <t>No</t>
        </is>
      </c>
      <c r="AH26" t="inlineStr">
        <is>
          <t>No</t>
        </is>
      </c>
      <c r="AI26" s="226" t="inlineStr">
        <is>
          <t>2025-04-11</t>
        </is>
      </c>
      <c r="AJ26" t="inlineStr">
        <is>
          <t>W12051780</t>
        </is>
      </c>
      <c r="AK26" t="inlineStr">
        <is>
          <t>https://condos.ca/toronto/the-humber-10-wilby-crescent-10-wilby-cres/unit-309-W12051780</t>
        </is>
      </c>
      <c r="AL26" t="inlineStr">
        <is>
          <t>Leased comp. SF: Verified (condos.ca per-unit).</t>
        </is>
      </c>
      <c r="AM26" t="inlineStr">
        <is>
          <t>Condo</t>
        </is>
      </c>
      <c r="AN26" s="227">
        <f>IFERROR(E26*(1+IF(AM26="Apartment",Data_Summary!$C$3,0)),"")</f>
        <v/>
      </c>
      <c r="AO26" s="226" t="n"/>
      <c r="AP26" t="inlineStr">
        <is>
          <t>Verified registered area</t>
        </is>
      </c>
      <c r="AQ26" t="inlineStr">
        <is>
          <t>condos.ca registered area</t>
        </is>
      </c>
      <c r="AS26" t="inlineStr">
        <is>
          <t>condos.ca per-unit registered area; used in $/SF. (template row)</t>
        </is>
      </c>
    </row>
    <row r="27" ht="15" customHeight="1">
      <c r="A27">
        <f>IF(AND(ISNUMBER(B27),B27&gt;0,ISNUMBER(AB27),AB27&gt;0,J27&gt;=Data_Summary!$C$1),1,0)</f>
        <v/>
      </c>
      <c r="B27" s="55" t="n">
        <v>715</v>
      </c>
      <c r="C27" s="26">
        <f>IF(ISNUMBER(AB27),AB27,"")</f>
        <v/>
      </c>
      <c r="D27" s="26">
        <f>IF(ISNUMBER(C27),C27-U27*Data_Summary!$C$2,"")</f>
        <v/>
      </c>
      <c r="E27" s="228">
        <f>IFERROR(C27/B27,"")</f>
        <v/>
      </c>
      <c r="F27" s="220">
        <f>IFERROR(D27/B27,"")</f>
        <v/>
      </c>
      <c r="G27">
        <f>Q27</f>
        <v/>
      </c>
      <c r="H27">
        <f>IFERROR(LEFT(G27,1),"")</f>
        <v/>
      </c>
      <c r="I27">
        <f>IF(LEN(G27)&gt;1,1,0)</f>
        <v/>
      </c>
      <c r="J27" s="225" t="n">
        <v>46162</v>
      </c>
      <c r="K27" t="inlineStr">
        <is>
          <t>The Humber</t>
        </is>
      </c>
      <c r="L27" t="inlineStr">
        <is>
          <t>10 Wilby Crescent</t>
        </is>
      </c>
      <c r="M27" t="inlineStr">
        <is>
          <t>Toronto (Weston)</t>
        </is>
      </c>
      <c r="N27" t="inlineStr">
        <is>
          <t>Options for Homes</t>
        </is>
      </c>
      <c r="O27" t="inlineStr">
        <is>
          <t>907</t>
        </is>
      </c>
      <c r="P27" t="inlineStr">
        <is>
          <t>907 - 10 Wilby Crescent</t>
        </is>
      </c>
      <c r="Q27" t="inlineStr">
        <is>
          <t>2</t>
        </is>
      </c>
      <c r="R27" t="n">
        <v>2</v>
      </c>
      <c r="S27" s="32" t="n">
        <v>715</v>
      </c>
      <c r="T27" t="inlineStr">
        <is>
          <t>700-799 sqft</t>
        </is>
      </c>
      <c r="U27" t="n">
        <v>1</v>
      </c>
      <c r="V27" t="inlineStr">
        <is>
          <t>Yes</t>
        </is>
      </c>
      <c r="W27" t="inlineStr">
        <is>
          <t>None</t>
        </is>
      </c>
      <c r="X27" t="inlineStr">
        <is>
          <t>Balcony, Patio</t>
        </is>
      </c>
      <c r="Y27" t="inlineStr">
        <is>
          <t>NE</t>
        </is>
      </c>
      <c r="Z27" t="inlineStr">
        <is>
          <t>Built 2023 (3 yrs)</t>
        </is>
      </c>
      <c r="AA27" t="inlineStr">
        <is>
          <t>Gym, Party Room, Rooftop Deck, Visitor Parking, BBQ, Bike Storage, Concierge, Coin Laundry</t>
        </is>
      </c>
      <c r="AB27" s="32" t="n"/>
      <c r="AC27" s="54" t="n">
        <v>2400</v>
      </c>
      <c r="AD27" s="220">
        <f>IFERROR(AB27/B27,"")</f>
        <v/>
      </c>
      <c r="AE27" s="220">
        <f>IFERROR(AC27/B27,"")</f>
        <v/>
      </c>
      <c r="AF27" t="inlineStr">
        <is>
          <t>No</t>
        </is>
      </c>
      <c r="AG27" t="inlineStr">
        <is>
          <t>No</t>
        </is>
      </c>
      <c r="AH27" t="inlineStr">
        <is>
          <t>No</t>
        </is>
      </c>
      <c r="AI27" s="226" t="inlineStr">
        <is>
          <t>2026-05-20</t>
        </is>
      </c>
      <c r="AJ27" t="inlineStr">
        <is>
          <t>W13150160</t>
        </is>
      </c>
      <c r="AK27" t="inlineStr">
        <is>
          <t>https://condos.ca/toronto/the-humber-10-wilby-crescent-10-wilby-cres/unit-907-W13150160</t>
        </is>
      </c>
      <c r="AL27" t="inlineStr">
        <is>
          <t>ACTIVE asking rent (not a closed lease). SF verified.</t>
        </is>
      </c>
      <c r="AM27" t="inlineStr">
        <is>
          <t>Condo</t>
        </is>
      </c>
      <c r="AN27" s="227">
        <f>IFERROR(E27*(1+IF(AM27="Apartment",Data_Summary!$C$3,0)),"")</f>
        <v/>
      </c>
      <c r="AO27" s="226" t="n"/>
      <c r="AP27" t="inlineStr">
        <is>
          <t>Verified registered area</t>
        </is>
      </c>
      <c r="AQ27" t="inlineStr">
        <is>
          <t>condos.ca registered area</t>
        </is>
      </c>
      <c r="AS27" t="inlineStr">
        <is>
          <t>condos.ca per-unit registered area; used in $/SF. (template row)</t>
        </is>
      </c>
    </row>
    <row r="28" ht="15" customHeight="1">
      <c r="A28">
        <f>IF(AND(ISNUMBER(B28),B28&gt;0,ISNUMBER(AB28),AB28&gt;0,J28&gt;=Data_Summary!$C$1),1,0)</f>
        <v/>
      </c>
      <c r="B28" s="55" t="n">
        <v>715</v>
      </c>
      <c r="C28" s="26">
        <f>IF(ISNUMBER(AB28),AB28,"")</f>
        <v/>
      </c>
      <c r="D28" s="26">
        <f>IF(ISNUMBER(C28),C28-U28*Data_Summary!$C$2,"")</f>
        <v/>
      </c>
      <c r="E28" s="228">
        <f>IFERROR(C28/B28,"")</f>
        <v/>
      </c>
      <c r="F28" s="220">
        <f>IFERROR(D28/B28,"")</f>
        <v/>
      </c>
      <c r="G28">
        <f>Q28</f>
        <v/>
      </c>
      <c r="H28">
        <f>IFERROR(LEFT(G28,1),"")</f>
        <v/>
      </c>
      <c r="I28">
        <f>IF(LEN(G28)&gt;1,1,0)</f>
        <v/>
      </c>
      <c r="J28" s="225" t="n">
        <v>46164</v>
      </c>
      <c r="K28" t="inlineStr">
        <is>
          <t>The Humber</t>
        </is>
      </c>
      <c r="L28" t="inlineStr">
        <is>
          <t>10 Wilby Crescent</t>
        </is>
      </c>
      <c r="M28" t="inlineStr">
        <is>
          <t>Toronto (Weston)</t>
        </is>
      </c>
      <c r="N28" t="inlineStr">
        <is>
          <t>Options for Homes</t>
        </is>
      </c>
      <c r="O28" t="inlineStr">
        <is>
          <t>1407</t>
        </is>
      </c>
      <c r="P28" t="inlineStr">
        <is>
          <t>1407 - 10 Wilby Crescent</t>
        </is>
      </c>
      <c r="Q28" t="inlineStr">
        <is>
          <t>2</t>
        </is>
      </c>
      <c r="R28" t="n">
        <v>2</v>
      </c>
      <c r="S28" s="32" t="n">
        <v>715</v>
      </c>
      <c r="T28" t="inlineStr">
        <is>
          <t>700-799 sqft</t>
        </is>
      </c>
      <c r="U28" t="n">
        <v>0</v>
      </c>
      <c r="V28" t="inlineStr">
        <is>
          <t>No</t>
        </is>
      </c>
      <c r="W28" t="inlineStr">
        <is>
          <t>None</t>
        </is>
      </c>
      <c r="X28" t="inlineStr">
        <is>
          <t>Balcony, Patio</t>
        </is>
      </c>
      <c r="Y28" t="inlineStr">
        <is>
          <t>NE</t>
        </is>
      </c>
      <c r="Z28" t="inlineStr">
        <is>
          <t>Built 2023 (3 yrs)</t>
        </is>
      </c>
      <c r="AA28" t="inlineStr">
        <is>
          <t>Gym, Party Room, Rooftop Deck, Visitor Parking, BBQ, Bike Storage, Concierge, Coin Laundry</t>
        </is>
      </c>
      <c r="AB28" s="32" t="n"/>
      <c r="AC28" s="54" t="n">
        <v>2500</v>
      </c>
      <c r="AD28" s="220">
        <f>IFERROR(AB28/B28,"")</f>
        <v/>
      </c>
      <c r="AE28" s="220">
        <f>IFERROR(AC28/B28,"")</f>
        <v/>
      </c>
      <c r="AF28" t="inlineStr">
        <is>
          <t>Part</t>
        </is>
      </c>
      <c r="AG28" t="inlineStr">
        <is>
          <t>No</t>
        </is>
      </c>
      <c r="AH28" t="inlineStr">
        <is>
          <t>No</t>
        </is>
      </c>
      <c r="AI28" s="226" t="inlineStr">
        <is>
          <t>2026-05-22</t>
        </is>
      </c>
      <c r="AJ28" t="inlineStr">
        <is>
          <t>W13159224</t>
        </is>
      </c>
      <c r="AK28" t="inlineStr">
        <is>
          <t>https://condos.ca/toronto/the-humber-10-wilby-crescent-10-wilby-cres/unit-1407-W13159224</t>
        </is>
      </c>
      <c r="AL28" t="inlineStr">
        <is>
          <t>ACTIVE asking rent (not a closed lease). SF verified.</t>
        </is>
      </c>
      <c r="AM28" t="inlineStr">
        <is>
          <t>Condo</t>
        </is>
      </c>
      <c r="AN28" s="227">
        <f>IFERROR(E28*(1+IF(AM28="Apartment",Data_Summary!$C$3,0)),"")</f>
        <v/>
      </c>
      <c r="AO28" s="226" t="n"/>
      <c r="AP28" t="inlineStr">
        <is>
          <t>Verified registered area</t>
        </is>
      </c>
      <c r="AQ28" t="inlineStr">
        <is>
          <t>condos.ca registered area</t>
        </is>
      </c>
      <c r="AS28" t="inlineStr">
        <is>
          <t>condos.ca per-unit registered area; used in $/SF. (template row)</t>
        </is>
      </c>
    </row>
    <row r="29" ht="15" customHeight="1">
      <c r="A29">
        <f>IF(AND(ISNUMBER(B29),B29&gt;0,ISNUMBER(AB29),AB29&gt;0,J29&gt;=Data_Summary!$C$1),1,0)</f>
        <v/>
      </c>
      <c r="B29" s="55" t="n">
        <v>715</v>
      </c>
      <c r="C29" s="26">
        <f>IF(ISNUMBER(AB29),AB29,"")</f>
        <v/>
      </c>
      <c r="D29" s="26">
        <f>IF(ISNUMBER(C29),C29-U29*Data_Summary!$C$2,"")</f>
        <v/>
      </c>
      <c r="E29" s="228">
        <f>IFERROR(C29/B29,"")</f>
        <v/>
      </c>
      <c r="F29" s="220">
        <f>IFERROR(D29/B29,"")</f>
        <v/>
      </c>
      <c r="G29">
        <f>Q29</f>
        <v/>
      </c>
      <c r="H29">
        <f>IFERROR(LEFT(G29,1),"")</f>
        <v/>
      </c>
      <c r="I29">
        <f>IF(LEN(G29)&gt;1,1,0)</f>
        <v/>
      </c>
      <c r="J29" s="225" t="n">
        <v>46084</v>
      </c>
      <c r="K29" t="inlineStr">
        <is>
          <t>The Humber</t>
        </is>
      </c>
      <c r="L29" t="inlineStr">
        <is>
          <t>10 Wilby Crescent</t>
        </is>
      </c>
      <c r="M29" t="inlineStr">
        <is>
          <t>Toronto (Weston)</t>
        </is>
      </c>
      <c r="N29" t="inlineStr">
        <is>
          <t>Options for Homes</t>
        </is>
      </c>
      <c r="O29" t="inlineStr">
        <is>
          <t>1907</t>
        </is>
      </c>
      <c r="P29" t="inlineStr">
        <is>
          <t>1907 - 10 Wilby Crescent</t>
        </is>
      </c>
      <c r="Q29" t="inlineStr">
        <is>
          <t>2</t>
        </is>
      </c>
      <c r="R29" t="n">
        <v>2</v>
      </c>
      <c r="S29" s="32" t="n">
        <v>715</v>
      </c>
      <c r="T29" t="inlineStr">
        <is>
          <t>700-799 sqft</t>
        </is>
      </c>
      <c r="U29" t="n">
        <v>1</v>
      </c>
      <c r="V29" t="inlineStr">
        <is>
          <t>Yes</t>
        </is>
      </c>
      <c r="W29" t="inlineStr">
        <is>
          <t>None</t>
        </is>
      </c>
      <c r="X29" t="inlineStr">
        <is>
          <t>Balcony, Patio</t>
        </is>
      </c>
      <c r="Y29" t="inlineStr">
        <is>
          <t>N</t>
        </is>
      </c>
      <c r="Z29" t="inlineStr">
        <is>
          <t>Built 2023 (3 yrs)</t>
        </is>
      </c>
      <c r="AA29" t="inlineStr">
        <is>
          <t>Gym, Party Room, Rooftop Deck, Visitor Parking, BBQ, Bike Storage, Concierge, Coin Laundry</t>
        </is>
      </c>
      <c r="AB29" s="32" t="n"/>
      <c r="AC29" s="54" t="n">
        <v>2500</v>
      </c>
      <c r="AD29" s="220">
        <f>IFERROR(AB29/B29,"")</f>
        <v/>
      </c>
      <c r="AE29" s="220">
        <f>IFERROR(AC29/B29,"")</f>
        <v/>
      </c>
      <c r="AF29" t="inlineStr">
        <is>
          <t>No</t>
        </is>
      </c>
      <c r="AG29" t="inlineStr">
        <is>
          <t>No</t>
        </is>
      </c>
      <c r="AH29" t="inlineStr">
        <is>
          <t>No</t>
        </is>
      </c>
      <c r="AI29" s="226" t="inlineStr">
        <is>
          <t>2026-03-03</t>
        </is>
      </c>
      <c r="AJ29" t="inlineStr">
        <is>
          <t>W12841668</t>
        </is>
      </c>
      <c r="AK29" t="inlineStr">
        <is>
          <t>https://condos.ca/toronto/the-humber-10-wilby-crescent-10-wilby-cres/unit-1907-W12841668</t>
        </is>
      </c>
      <c r="AL29" t="inlineStr">
        <is>
          <t>ACTIVE asking rent (not a closed lease). SF verified.</t>
        </is>
      </c>
      <c r="AM29" t="inlineStr">
        <is>
          <t>Condo</t>
        </is>
      </c>
      <c r="AN29" s="227">
        <f>IFERROR(E29*(1+IF(AM29="Apartment",Data_Summary!$C$3,0)),"")</f>
        <v/>
      </c>
      <c r="AO29" s="226" t="n"/>
      <c r="AP29" t="inlineStr">
        <is>
          <t>Verified registered area</t>
        </is>
      </c>
      <c r="AQ29" t="inlineStr">
        <is>
          <t>condos.ca registered area</t>
        </is>
      </c>
      <c r="AS29" t="inlineStr">
        <is>
          <t>condos.ca per-unit registered area; used in $/SF. (template row)</t>
        </is>
      </c>
    </row>
    <row r="30" ht="15" customHeight="1">
      <c r="A30">
        <f>IF(AND(ISNUMBER(B30),B30&gt;0,ISNUMBER(AB30),AB30&gt;0,J30&gt;=Data_Summary!$C$1),1,0)</f>
        <v/>
      </c>
      <c r="B30" s="57" t="n"/>
      <c r="C30" s="26">
        <f>IF(ISNUMBER(AB30),AB30,"")</f>
        <v/>
      </c>
      <c r="D30" s="26">
        <f>IF(ISNUMBER(C30),C30-U30*Data_Summary!$C$2,"")</f>
        <v/>
      </c>
      <c r="E30" s="229">
        <f>IFERROR(C30/B30,"")</f>
        <v/>
      </c>
      <c r="F30" s="220">
        <f>IFERROR(D30/B30,"")</f>
        <v/>
      </c>
      <c r="G30">
        <f>Q30</f>
        <v/>
      </c>
      <c r="H30">
        <f>IFERROR(LEFT(G30,1),"")</f>
        <v/>
      </c>
      <c r="I30">
        <f>IF(LEN(G30)&gt;1,1,0)</f>
        <v/>
      </c>
      <c r="J30" s="225" t="n">
        <v>46118</v>
      </c>
      <c r="K30" t="inlineStr">
        <is>
          <t>The Humber</t>
        </is>
      </c>
      <c r="L30" t="inlineStr">
        <is>
          <t>10 Wilby Crescent</t>
        </is>
      </c>
      <c r="M30" t="inlineStr">
        <is>
          <t>Toronto (Weston)</t>
        </is>
      </c>
      <c r="N30" t="inlineStr">
        <is>
          <t>Options for Homes</t>
        </is>
      </c>
      <c r="O30" t="inlineStr">
        <is>
          <t>1801-P</t>
        </is>
      </c>
      <c r="P30" t="inlineStr">
        <is>
          <t>1801-P - 10 Wilby Crescent</t>
        </is>
      </c>
      <c r="Q30" t="inlineStr">
        <is>
          <t>1</t>
        </is>
      </c>
      <c r="R30" t="n">
        <v>1</v>
      </c>
      <c r="S30" s="32" t="n"/>
      <c r="U30" t="n">
        <v>0</v>
      </c>
      <c r="V30" t="inlineStr">
        <is>
          <t>No</t>
        </is>
      </c>
      <c r="W30" t="inlineStr">
        <is>
          <t>None</t>
        </is>
      </c>
      <c r="X30" t="inlineStr">
        <is>
          <t>Balcony, Patio</t>
        </is>
      </c>
      <c r="Z30" t="inlineStr">
        <is>
          <t>Built 2023 (3 yrs)</t>
        </is>
      </c>
      <c r="AA30" t="inlineStr">
        <is>
          <t>Gym, Party Room, Rooftop Deck, Visitor Parking, BBQ, Bike Storage, Concierge, Coin Laundry</t>
        </is>
      </c>
      <c r="AB30" s="54" t="n">
        <v>1560</v>
      </c>
      <c r="AC30" s="54" t="n">
        <v>1480</v>
      </c>
      <c r="AD30" s="220">
        <f>IFERROR(AB30/B30,"")</f>
        <v/>
      </c>
      <c r="AE30" s="220">
        <f>IFERROR(AC30/B30,"")</f>
        <v/>
      </c>
      <c r="AF30" t="inlineStr">
        <is>
          <t>No</t>
        </is>
      </c>
      <c r="AG30" t="inlineStr">
        <is>
          <t>No</t>
        </is>
      </c>
      <c r="AH30" t="inlineStr">
        <is>
          <t>No</t>
        </is>
      </c>
      <c r="AI30" s="226" t="inlineStr">
        <is>
          <t>2026-04-06</t>
        </is>
      </c>
      <c r="AJ30" t="inlineStr">
        <is>
          <t>W12905894</t>
        </is>
      </c>
      <c r="AK30" t="inlineStr">
        <is>
          <t>https://condos.ca/toronto/the-humber-10-wilby-crescent-10-wilby-cres/unit-1801-P-W12905894</t>
        </is>
      </c>
      <c r="AL30" t="inlineStr">
        <is>
          <t>Room rental of unit 1801 (P/S) - excluded from PSF.</t>
        </is>
      </c>
      <c r="AM30" t="inlineStr">
        <is>
          <t>Condo</t>
        </is>
      </c>
      <c r="AN30" s="227">
        <f>IFERROR(E30*(1+IF(AM30="Apartment",Data_Summary!$C$3,0)),"")</f>
        <v/>
      </c>
      <c r="AO30" s="226" t="n"/>
      <c r="AP30" t="inlineStr">
        <is>
          <t>Unresolved</t>
        </is>
      </c>
      <c r="AQ30" t="inlineStr">
        <is>
          <t>none</t>
        </is>
      </c>
      <c r="AS30" t="inlineStr">
        <is>
          <t>No exact verified SF → Include=0, excluded from $/SF. (template row)</t>
        </is>
      </c>
    </row>
    <row r="31" ht="15" customHeight="1">
      <c r="A31">
        <f>IF(AND(ISNUMBER(B31),B31&gt;0,ISNUMBER(AB31),AB31&gt;0,J31&gt;=Data_Summary!$C$1),1,0)</f>
        <v/>
      </c>
      <c r="B31" s="57" t="n"/>
      <c r="C31" s="26">
        <f>IF(ISNUMBER(AB31),AB31,"")</f>
        <v/>
      </c>
      <c r="D31" s="26">
        <f>IF(ISNUMBER(C31),C31-U31*Data_Summary!$C$2,"")</f>
        <v/>
      </c>
      <c r="E31" s="229">
        <f>IFERROR(C31/B31,"")</f>
        <v/>
      </c>
      <c r="F31" s="220">
        <f>IFERROR(D31/B31,"")</f>
        <v/>
      </c>
      <c r="G31">
        <f>Q31</f>
        <v/>
      </c>
      <c r="H31">
        <f>IFERROR(LEFT(G31,1),"")</f>
        <v/>
      </c>
      <c r="I31">
        <f>IF(LEN(G31)&gt;1,1,0)</f>
        <v/>
      </c>
      <c r="J31" s="225" t="n">
        <v>45860</v>
      </c>
      <c r="K31" t="inlineStr">
        <is>
          <t>The Humber</t>
        </is>
      </c>
      <c r="L31" t="inlineStr">
        <is>
          <t>10 Wilby Crescent</t>
        </is>
      </c>
      <c r="M31" t="inlineStr">
        <is>
          <t>Toronto (Weston)</t>
        </is>
      </c>
      <c r="N31" t="inlineStr">
        <is>
          <t>Options for Homes</t>
        </is>
      </c>
      <c r="O31" t="inlineStr">
        <is>
          <t>1801-S</t>
        </is>
      </c>
      <c r="P31" t="inlineStr">
        <is>
          <t>1801-S - 10 Wilby Crescent</t>
        </is>
      </c>
      <c r="Q31" t="inlineStr">
        <is>
          <t>1</t>
        </is>
      </c>
      <c r="R31" t="n">
        <v>1</v>
      </c>
      <c r="S31" s="32" t="n"/>
      <c r="U31" t="n">
        <v>0</v>
      </c>
      <c r="V31" t="inlineStr">
        <is>
          <t>No</t>
        </is>
      </c>
      <c r="W31" t="inlineStr">
        <is>
          <t>None</t>
        </is>
      </c>
      <c r="X31" t="inlineStr">
        <is>
          <t>Balcony, Patio</t>
        </is>
      </c>
      <c r="Z31" t="inlineStr">
        <is>
          <t>Built 2023 (3 yrs)</t>
        </is>
      </c>
      <c r="AA31" t="inlineStr">
        <is>
          <t>Gym, Party Room, Rooftop Deck, Visitor Parking, BBQ, Bike Storage, Concierge, Coin Laundry</t>
        </is>
      </c>
      <c r="AB31" s="54" t="n">
        <v>1280</v>
      </c>
      <c r="AC31" s="54" t="n">
        <v>1280</v>
      </c>
      <c r="AD31" s="220">
        <f>IFERROR(AB31/B31,"")</f>
        <v/>
      </c>
      <c r="AE31" s="220">
        <f>IFERROR(AC31/B31,"")</f>
        <v/>
      </c>
      <c r="AF31" t="inlineStr">
        <is>
          <t>No</t>
        </is>
      </c>
      <c r="AG31" t="inlineStr">
        <is>
          <t>No</t>
        </is>
      </c>
      <c r="AH31" t="inlineStr">
        <is>
          <t>No</t>
        </is>
      </c>
      <c r="AI31" s="226" t="inlineStr">
        <is>
          <t>2025-07-22</t>
        </is>
      </c>
      <c r="AJ31" t="inlineStr">
        <is>
          <t>W11968666</t>
        </is>
      </c>
      <c r="AK31" t="inlineStr">
        <is>
          <t>https://condos.ca/toronto/the-humber-10-wilby-crescent-10-wilby-cres/unit-1801-S-W11968666</t>
        </is>
      </c>
      <c r="AL31" t="inlineStr">
        <is>
          <t>Room rental of unit 1801 (P/S) - excluded from PSF.</t>
        </is>
      </c>
      <c r="AM31" t="inlineStr">
        <is>
          <t>Condo</t>
        </is>
      </c>
      <c r="AN31" s="227">
        <f>IFERROR(E31*(1+IF(AM31="Apartment",Data_Summary!$C$3,0)),"")</f>
        <v/>
      </c>
      <c r="AO31" s="226" t="n"/>
      <c r="AP31" t="inlineStr">
        <is>
          <t>Unresolved</t>
        </is>
      </c>
      <c r="AQ31" t="inlineStr">
        <is>
          <t>none</t>
        </is>
      </c>
      <c r="AS31" t="inlineStr">
        <is>
          <t>No exact verified SF → Include=0, excluded from $/SF. (template row)</t>
        </is>
      </c>
    </row>
    <row r="32" ht="15" customHeight="1"/>
    <row r="33" ht="15" customHeight="1"/>
    <row r="34" ht="15" customHeight="1"/>
    <row r="35" ht="15" customHeight="1"/>
    <row r="36" ht="15" customHeight="1"/>
    <row r="37" ht="15" customHeight="1"/>
    <row r="38" ht="15" customHeight="1"/>
    <row r="39" ht="15" customHeight="1"/>
    <row r="40" ht="15" customHeight="1"/>
  </sheetData>
  <autoFilter ref="A1:AN31"/>
  <hyperlinks>
    <hyperlink xmlns:r="http://schemas.openxmlformats.org/officeDocument/2006/relationships" ref="AK16" r:id="rId1"/>
  </hyperlink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S31"/>
  <sheetViews>
    <sheetView showGridLines="0" zoomScaleNormal="100" workbookViewId="0">
      <pane ySplit="1" topLeftCell="A2" activePane="bottomLeft" state="frozen"/>
      <selection pane="bottomLeft" activeCell="A4" sqref="A4"/>
    </sheetView>
  </sheetViews>
  <sheetFormatPr baseColWidth="8" defaultColWidth="8.7109375" defaultRowHeight="12.75"/>
  <cols>
    <col width="7" customWidth="1" min="2" max="3"/>
    <col width="8" customWidth="1" min="5" max="5"/>
    <col width="9" customWidth="1" min="6" max="6"/>
    <col width="11" customWidth="1" min="10" max="10"/>
    <col width="16" customWidth="1" min="11" max="11"/>
    <col width="17" customWidth="1" min="12" max="12"/>
    <col width="18" customWidth="1" min="13" max="14"/>
    <col width="8" customWidth="1" min="15" max="15"/>
    <col width="22" customWidth="1" min="16" max="16"/>
    <col width="6" customWidth="1" min="17" max="18"/>
    <col width="15.28515625" bestFit="1" customWidth="1" min="19" max="19"/>
    <col width="13" customWidth="1" min="20" max="20"/>
    <col width="11.85546875" bestFit="1" customWidth="1" min="21" max="21"/>
    <col width="8" customWidth="1" min="25" max="25"/>
    <col width="16" customWidth="1" min="26" max="26"/>
    <col width="13.7109375" bestFit="1" customWidth="1" min="27" max="27"/>
    <col width="10" customWidth="1" min="28" max="29"/>
    <col width="8" customWidth="1" min="30" max="31"/>
    <col width="28" customWidth="1" min="37" max="37"/>
    <col width="38" customWidth="1" min="38" max="38"/>
    <col width="12" customWidth="1" min="39" max="40"/>
    <col width="22.85546875" customWidth="1" min="41" max="41"/>
  </cols>
  <sheetData>
    <row r="1" ht="27.75" customHeight="1">
      <c r="A1" s="31" t="inlineStr">
        <is>
          <t>Include</t>
        </is>
      </c>
      <c r="B1" s="31" t="inlineStr">
        <is>
          <t>Sq Ft.</t>
        </is>
      </c>
      <c r="C1" s="31" t="inlineStr">
        <is>
          <t>Rent</t>
        </is>
      </c>
      <c r="D1" s="31" t="inlineStr">
        <is>
          <t>Adj. Rent</t>
        </is>
      </c>
      <c r="E1" s="31" t="inlineStr">
        <is>
          <t>$/sq ft</t>
        </is>
      </c>
      <c r="F1" s="31" t="inlineStr">
        <is>
          <t>Adj. $/sq ft</t>
        </is>
      </c>
      <c r="G1" s="31" t="inlineStr">
        <is>
          <t>Adj BD</t>
        </is>
      </c>
      <c r="H1" s="31" t="inlineStr">
        <is>
          <t>Beds Number</t>
        </is>
      </c>
      <c r="I1" s="31" t="inlineStr">
        <is>
          <t>Den</t>
        </is>
      </c>
      <c r="J1" s="31" t="inlineStr">
        <is>
          <t>Date</t>
        </is>
      </c>
      <c r="K1" s="31" t="inlineStr">
        <is>
          <t>Building Name</t>
        </is>
      </c>
      <c r="L1" s="31" t="inlineStr">
        <is>
          <t>Building Address</t>
        </is>
      </c>
      <c r="M1" s="31" t="inlineStr">
        <is>
          <t>Building City</t>
        </is>
      </c>
      <c r="N1" s="31" t="inlineStr">
        <is>
          <t>Developer</t>
        </is>
      </c>
      <c r="O1" s="31" t="inlineStr">
        <is>
          <t>Unit #</t>
        </is>
      </c>
      <c r="P1" s="31" t="inlineStr">
        <is>
          <t>Unit Address</t>
        </is>
      </c>
      <c r="Q1" s="31" t="inlineStr">
        <is>
          <t>Beds</t>
        </is>
      </c>
      <c r="R1" s="31" t="inlineStr">
        <is>
          <t>Baths</t>
        </is>
      </c>
      <c r="S1" s="31" t="inlineStr">
        <is>
          <t>Sqft (Condos.ca)</t>
        </is>
      </c>
      <c r="T1" s="31" t="inlineStr">
        <is>
          <t>MLS Size Range</t>
        </is>
      </c>
      <c r="U1" s="31" t="inlineStr">
        <is>
          <t># Parking</t>
        </is>
      </c>
      <c r="V1" s="31" t="inlineStr">
        <is>
          <t>Parking Included</t>
        </is>
      </c>
      <c r="W1" s="31" t="inlineStr">
        <is>
          <t>Locker</t>
        </is>
      </c>
      <c r="X1" s="31" t="inlineStr">
        <is>
          <t>Outdoor Space</t>
        </is>
      </c>
      <c r="Y1" s="31" t="inlineStr">
        <is>
          <t>Exposure</t>
        </is>
      </c>
      <c r="Z1" s="31" t="inlineStr">
        <is>
          <t>Building Age</t>
        </is>
      </c>
      <c r="AA1" s="31" t="inlineStr">
        <is>
          <t>Building Amenities</t>
        </is>
      </c>
      <c r="AB1" s="31" t="inlineStr">
        <is>
          <t>Leased Rent ($)</t>
        </is>
      </c>
      <c r="AC1" s="31" t="inlineStr">
        <is>
          <t>Listed Rent ($)</t>
        </is>
      </c>
      <c r="AD1" s="31" t="inlineStr">
        <is>
          <t>PSF (Calculated)</t>
        </is>
      </c>
      <c r="AE1" s="31" t="inlineStr">
        <is>
          <t>PSF (Listing)</t>
        </is>
      </c>
      <c r="AF1" s="31" t="inlineStr">
        <is>
          <t>Furnished</t>
        </is>
      </c>
      <c r="AG1" s="31" t="inlineStr">
        <is>
          <t>Hydro Included</t>
        </is>
      </c>
      <c r="AH1" s="31" t="inlineStr">
        <is>
          <t>Water Included</t>
        </is>
      </c>
      <c r="AI1" s="31" t="inlineStr">
        <is>
          <t>Lease Date</t>
        </is>
      </c>
      <c r="AJ1" s="31" t="inlineStr">
        <is>
          <t>MLS#</t>
        </is>
      </c>
      <c r="AK1" s="31" t="inlineStr">
        <is>
          <t>Listing URL</t>
        </is>
      </c>
      <c r="AL1" s="31" t="inlineStr">
        <is>
          <t>Description</t>
        </is>
      </c>
      <c r="AM1" s="31" t="inlineStr">
        <is>
          <t>Product Type</t>
        </is>
      </c>
      <c r="AN1" s="64" t="inlineStr">
        <is>
          <t>$/SF (Product-Adj)</t>
        </is>
      </c>
      <c r="AO1" s="230" t="inlineStr">
        <is>
          <t>Date Scraped</t>
        </is>
      </c>
      <c r="AP1" s="190" t="inlineStr">
        <is>
          <t>SF Verification Status</t>
        </is>
      </c>
      <c r="AQ1" s="190" t="inlineStr">
        <is>
          <t>SF Source Type</t>
        </is>
      </c>
      <c r="AR1" s="190" t="inlineStr">
        <is>
          <t>SF Source / URL</t>
        </is>
      </c>
      <c r="AS1" s="190" t="inlineStr">
        <is>
          <t>SF Explanation / Not Validated Reason</t>
        </is>
      </c>
    </row>
    <row r="2" ht="15" customHeight="1">
      <c r="A2">
        <f>IF(AND(ISNUMBER(B2),B2&gt;0,ISNUMBER(AB2),AB2&gt;0,J2&gt;=Data_Summary!$C$1),1,0)</f>
        <v/>
      </c>
      <c r="B2" s="51" t="n">
        <v>694</v>
      </c>
      <c r="C2" s="26">
        <f>IF(ISNUMBER(AB2),AB2,"")</f>
        <v/>
      </c>
      <c r="D2">
        <f>IF(ISNUMBER(C2),C2-U2*Data_Summary!$C$2,"")</f>
        <v/>
      </c>
      <c r="E2" s="52">
        <f>IFERROR(C2/B2,"")</f>
        <v/>
      </c>
      <c r="F2" s="44">
        <f>IFERROR(D2/B2,"")</f>
        <v/>
      </c>
      <c r="G2">
        <f>Q2</f>
        <v/>
      </c>
      <c r="H2">
        <f>IFERROR(LEFT(G2,1),"")</f>
        <v/>
      </c>
      <c r="I2">
        <f>IF(LEN(G2)&gt;1,1,0)</f>
        <v/>
      </c>
      <c r="J2" s="53" t="n">
        <v>46136</v>
      </c>
      <c r="K2" t="inlineStr">
        <is>
          <t>The Humber</t>
        </is>
      </c>
      <c r="L2" t="inlineStr">
        <is>
          <t>10 Wilby Crescent</t>
        </is>
      </c>
      <c r="M2" t="inlineStr">
        <is>
          <t>Toronto (Weston)</t>
        </is>
      </c>
      <c r="N2" t="inlineStr">
        <is>
          <t>Options for Homes</t>
        </is>
      </c>
      <c r="O2" t="inlineStr">
        <is>
          <t>1602</t>
        </is>
      </c>
      <c r="P2" t="inlineStr">
        <is>
          <t>1602 - 10 Wilby Crescent</t>
        </is>
      </c>
      <c r="Q2" t="inlineStr">
        <is>
          <t>2</t>
        </is>
      </c>
      <c r="R2" t="n">
        <v>2</v>
      </c>
      <c r="S2" s="32" t="n">
        <v>694</v>
      </c>
      <c r="T2" t="inlineStr">
        <is>
          <t>600-699 sqft</t>
        </is>
      </c>
      <c r="U2" t="n">
        <v>1</v>
      </c>
      <c r="V2" t="inlineStr">
        <is>
          <t>Yes</t>
        </is>
      </c>
      <c r="W2" t="inlineStr">
        <is>
          <t>Ensuite</t>
        </is>
      </c>
      <c r="X2" t="inlineStr">
        <is>
          <t>Balcony, Patio</t>
        </is>
      </c>
      <c r="Y2" t="inlineStr">
        <is>
          <t>W</t>
        </is>
      </c>
      <c r="Z2" t="inlineStr">
        <is>
          <t>Built 2023 (3 yrs)</t>
        </is>
      </c>
      <c r="AA2" t="inlineStr">
        <is>
          <t>Gym, Party Room, Rooftop Deck, Visitor Parking, BBQ, Bike Storage, Concierge, Coin Laundry</t>
        </is>
      </c>
      <c r="AB2" s="54" t="n">
        <v>2450</v>
      </c>
      <c r="AC2" s="54" t="n">
        <v>2450</v>
      </c>
      <c r="AD2" s="44">
        <f>IFERROR(AB2/B2,"")</f>
        <v/>
      </c>
      <c r="AE2" s="44">
        <f>IFERROR(AC2/B2,"")</f>
        <v/>
      </c>
      <c r="AF2" t="inlineStr">
        <is>
          <t>No</t>
        </is>
      </c>
      <c r="AG2" t="inlineStr">
        <is>
          <t>No</t>
        </is>
      </c>
      <c r="AH2" t="inlineStr">
        <is>
          <t>No</t>
        </is>
      </c>
      <c r="AI2" t="inlineStr">
        <is>
          <t>2026-04-24</t>
        </is>
      </c>
      <c r="AJ2" t="inlineStr">
        <is>
          <t>W12626670</t>
        </is>
      </c>
      <c r="AK2" t="inlineStr">
        <is>
          <t>https://condos.ca/toronto/the-humber-10-wilby-crescent-10-wilby-cres/unit-1602-W12626670</t>
        </is>
      </c>
      <c r="AL2" t="inlineStr">
        <is>
          <t>Leased comp. SF: Verified (condos.ca per-unit).</t>
        </is>
      </c>
      <c r="AM2" t="inlineStr">
        <is>
          <t>Condo</t>
        </is>
      </c>
      <c r="AN2" s="63">
        <f>IFERROR(E2*(1+IF(AM2="Apartment",Data_Summary!$C$3,0)),"")</f>
        <v/>
      </c>
    </row>
    <row r="3" ht="15" customHeight="1">
      <c r="F3" s="44" t="n"/>
      <c r="J3" s="53" t="n"/>
      <c r="S3" s="32" t="n"/>
      <c r="AB3" s="54" t="n"/>
      <c r="AC3" s="54" t="n"/>
      <c r="AD3" s="44" t="n"/>
      <c r="AE3" s="44" t="n"/>
      <c r="AN3" s="63" t="n"/>
    </row>
    <row r="4" ht="15" customHeight="1">
      <c r="F4" s="44" t="n"/>
      <c r="J4" s="53" t="n"/>
      <c r="S4" s="32" t="n"/>
      <c r="AB4" s="54" t="n"/>
      <c r="AC4" s="54" t="n"/>
      <c r="AD4" s="44" t="n"/>
      <c r="AE4" s="44" t="n"/>
      <c r="AN4" s="63" t="n"/>
    </row>
    <row r="5" ht="15" customHeight="1">
      <c r="F5" s="44" t="n"/>
      <c r="J5" s="53" t="n"/>
      <c r="S5" s="32" t="n"/>
      <c r="AB5" s="54" t="n"/>
      <c r="AC5" s="54" t="n"/>
      <c r="AD5" s="44" t="n"/>
      <c r="AE5" s="44" t="n"/>
      <c r="AN5" s="63" t="n"/>
    </row>
    <row r="6" ht="15" customHeight="1">
      <c r="F6" s="44" t="n"/>
      <c r="J6" s="53" t="n"/>
      <c r="S6" s="32" t="n"/>
      <c r="AB6" s="54" t="n"/>
      <c r="AC6" s="54" t="n"/>
      <c r="AD6" s="44" t="n"/>
      <c r="AE6" s="44" t="n"/>
      <c r="AN6" s="63" t="n"/>
    </row>
    <row r="7" ht="15" customHeight="1">
      <c r="F7" s="44" t="n"/>
      <c r="J7" s="53" t="n"/>
      <c r="S7" s="32" t="n"/>
      <c r="AB7" s="54" t="n"/>
      <c r="AC7" s="54" t="n"/>
      <c r="AD7" s="44" t="n"/>
      <c r="AE7" s="44" t="n"/>
      <c r="AN7" s="63" t="n"/>
    </row>
    <row r="8" ht="15" customHeight="1">
      <c r="F8" s="44" t="n"/>
      <c r="J8" s="53" t="n"/>
      <c r="S8" s="32" t="n"/>
      <c r="AB8" s="54" t="n"/>
      <c r="AC8" s="54" t="n"/>
      <c r="AD8" s="44" t="n"/>
      <c r="AE8" s="44" t="n"/>
      <c r="AN8" s="63" t="n"/>
    </row>
    <row r="9" ht="15" customHeight="1">
      <c r="F9" s="44" t="n"/>
      <c r="J9" s="53" t="n"/>
      <c r="S9" s="32" t="n"/>
      <c r="AB9" s="54" t="n"/>
      <c r="AC9" s="54" t="n"/>
      <c r="AD9" s="44" t="n"/>
      <c r="AE9" s="44" t="n"/>
      <c r="AN9" s="63" t="n"/>
    </row>
    <row r="10" ht="15" customHeight="1">
      <c r="F10" s="44" t="n"/>
      <c r="J10" s="53" t="n"/>
      <c r="S10" s="32" t="n"/>
      <c r="AB10" s="54" t="n"/>
      <c r="AC10" s="54" t="n"/>
      <c r="AD10" s="44" t="n"/>
      <c r="AE10" s="44" t="n"/>
      <c r="AN10" s="63" t="n"/>
    </row>
    <row r="11" ht="15" customHeight="1">
      <c r="F11" s="44" t="n"/>
      <c r="J11" s="53" t="n"/>
      <c r="S11" s="32" t="n"/>
      <c r="AB11" s="54" t="n"/>
      <c r="AC11" s="54" t="n"/>
      <c r="AD11" s="44" t="n"/>
      <c r="AE11" s="44" t="n"/>
      <c r="AN11" s="63" t="n"/>
    </row>
    <row r="12" ht="15" customHeight="1">
      <c r="F12" s="44" t="n"/>
      <c r="J12" s="53" t="n"/>
      <c r="S12" s="32" t="n"/>
      <c r="AB12" s="54" t="n"/>
      <c r="AC12" s="54" t="n"/>
      <c r="AD12" s="44" t="n"/>
      <c r="AE12" s="44" t="n"/>
      <c r="AN12" s="63" t="n"/>
    </row>
    <row r="13" ht="15" customHeight="1">
      <c r="F13" s="44" t="n"/>
      <c r="J13" s="53" t="n"/>
      <c r="S13" s="32" t="n"/>
      <c r="AB13" s="54" t="n"/>
      <c r="AC13" s="54" t="n"/>
      <c r="AD13" s="44" t="n"/>
      <c r="AE13" s="44" t="n"/>
      <c r="AN13" s="63" t="n"/>
    </row>
    <row r="14" ht="15" customHeight="1">
      <c r="F14" s="44" t="n"/>
      <c r="J14" s="53" t="n"/>
      <c r="S14" s="32" t="n"/>
      <c r="AB14" s="54" t="n"/>
      <c r="AC14" s="54" t="n"/>
      <c r="AD14" s="44" t="n"/>
      <c r="AE14" s="44" t="n"/>
      <c r="AN14" s="63" t="n"/>
    </row>
    <row r="15" ht="15" customHeight="1">
      <c r="F15" s="44" t="n"/>
      <c r="J15" s="53" t="n"/>
      <c r="S15" s="32" t="n"/>
      <c r="AB15" s="54" t="n"/>
      <c r="AC15" s="54" t="n"/>
      <c r="AD15" s="44" t="n"/>
      <c r="AE15" s="44" t="n"/>
      <c r="AN15" s="63" t="n"/>
    </row>
    <row r="16" ht="15" customHeight="1">
      <c r="F16" s="44" t="n"/>
      <c r="J16" s="53" t="n"/>
      <c r="S16" s="32" t="n"/>
      <c r="AB16" s="54" t="n"/>
      <c r="AC16" s="54" t="n"/>
      <c r="AD16" s="44" t="n"/>
      <c r="AE16" s="44" t="n"/>
      <c r="AK16" s="61" t="n"/>
      <c r="AN16" s="63" t="n"/>
    </row>
    <row r="17" ht="15" customHeight="1">
      <c r="F17" s="44" t="n"/>
      <c r="J17" s="53" t="n"/>
      <c r="S17" s="32" t="n"/>
      <c r="AB17" s="54" t="n"/>
      <c r="AC17" s="54" t="n"/>
      <c r="AD17" s="44" t="n"/>
      <c r="AE17" s="44" t="n"/>
      <c r="AN17" s="63" t="n"/>
    </row>
    <row r="18" ht="15" customHeight="1">
      <c r="F18" s="44" t="n"/>
      <c r="J18" s="53" t="n"/>
      <c r="S18" s="32" t="n"/>
      <c r="AB18" s="54" t="n"/>
      <c r="AC18" s="54" t="n"/>
      <c r="AD18" s="44" t="n"/>
      <c r="AE18" s="44" t="n"/>
      <c r="AN18" s="63" t="n"/>
    </row>
    <row r="19" ht="15" customHeight="1">
      <c r="F19" s="44" t="n"/>
      <c r="J19" s="53" t="n"/>
      <c r="S19" s="32" t="n"/>
      <c r="AB19" s="54" t="n"/>
      <c r="AC19" s="54" t="n"/>
      <c r="AD19" s="44" t="n"/>
      <c r="AE19" s="44" t="n"/>
      <c r="AN19" s="63" t="n"/>
    </row>
    <row r="20" ht="15" customHeight="1">
      <c r="F20" s="44" t="n"/>
      <c r="J20" s="53" t="n"/>
      <c r="S20" s="32" t="n"/>
      <c r="AB20" s="54" t="n"/>
      <c r="AC20" s="54" t="n"/>
      <c r="AD20" s="44" t="n"/>
      <c r="AE20" s="44" t="n"/>
      <c r="AN20" s="63" t="n"/>
    </row>
    <row r="21" ht="15" customHeight="1">
      <c r="F21" s="44" t="n"/>
      <c r="J21" s="53" t="n"/>
      <c r="S21" s="32" t="n"/>
      <c r="AB21" s="54" t="n"/>
      <c r="AC21" s="54" t="n"/>
      <c r="AD21" s="44" t="n"/>
      <c r="AE21" s="44" t="n"/>
      <c r="AN21" s="63" t="n"/>
    </row>
    <row r="22" ht="15" customHeight="1">
      <c r="F22" s="44" t="n"/>
      <c r="J22" s="53" t="n"/>
      <c r="S22" s="32" t="n"/>
      <c r="AB22" s="54" t="n"/>
      <c r="AC22" s="54" t="n"/>
      <c r="AD22" s="44" t="n"/>
      <c r="AE22" s="44" t="n"/>
      <c r="AN22" s="63" t="n"/>
    </row>
    <row r="23" ht="15" customHeight="1">
      <c r="F23" s="44" t="n"/>
      <c r="J23" s="53" t="n"/>
      <c r="S23" s="32" t="n"/>
      <c r="AB23" s="54" t="n"/>
      <c r="AC23" s="54" t="n"/>
      <c r="AD23" s="44" t="n"/>
      <c r="AE23" s="44" t="n"/>
      <c r="AN23" s="63" t="n"/>
    </row>
    <row r="24" ht="15" customHeight="1">
      <c r="F24" s="44" t="n"/>
      <c r="J24" s="53" t="n"/>
      <c r="S24" s="32" t="n"/>
      <c r="AB24" s="54" t="n"/>
      <c r="AC24" s="54" t="n"/>
      <c r="AD24" s="44" t="n"/>
      <c r="AE24" s="44" t="n"/>
      <c r="AN24" s="63" t="n"/>
    </row>
    <row r="25" ht="15" customHeight="1">
      <c r="F25" s="44" t="n"/>
      <c r="J25" s="53" t="n"/>
      <c r="S25" s="32" t="n"/>
      <c r="AB25" s="54" t="n"/>
      <c r="AC25" s="54" t="n"/>
      <c r="AD25" s="44" t="n"/>
      <c r="AE25" s="44" t="n"/>
      <c r="AN25" s="63" t="n"/>
    </row>
    <row r="26" ht="15" customHeight="1">
      <c r="F26" s="44" t="n"/>
      <c r="J26" s="53" t="n"/>
      <c r="S26" s="32" t="n"/>
      <c r="AB26" s="54" t="n"/>
      <c r="AC26" s="54" t="n"/>
      <c r="AD26" s="44" t="n"/>
      <c r="AE26" s="44" t="n"/>
      <c r="AN26" s="63" t="n"/>
    </row>
    <row r="27" ht="15" customHeight="1">
      <c r="F27" s="44" t="n"/>
      <c r="J27" s="53" t="n"/>
      <c r="S27" s="32" t="n"/>
      <c r="AB27" s="32" t="n"/>
      <c r="AC27" s="54" t="n"/>
      <c r="AD27" s="44" t="n"/>
      <c r="AE27" s="44" t="n"/>
      <c r="AN27" s="63" t="n"/>
    </row>
    <row r="28" ht="15" customHeight="1">
      <c r="F28" s="44" t="n"/>
      <c r="J28" s="53" t="n"/>
      <c r="S28" s="32" t="n"/>
      <c r="AB28" s="32" t="n"/>
      <c r="AC28" s="54" t="n"/>
      <c r="AD28" s="44" t="n"/>
      <c r="AE28" s="44" t="n"/>
      <c r="AN28" s="63" t="n"/>
    </row>
    <row r="29" ht="15" customHeight="1">
      <c r="F29" s="44" t="n"/>
      <c r="J29" s="53" t="n"/>
      <c r="S29" s="32" t="n"/>
      <c r="AB29" s="32" t="n"/>
      <c r="AC29" s="54" t="n"/>
      <c r="AD29" s="44" t="n"/>
      <c r="AE29" s="44" t="n"/>
      <c r="AN29" s="63" t="n"/>
    </row>
    <row r="30" ht="15" customHeight="1">
      <c r="F30" s="44" t="n"/>
      <c r="J30" s="53" t="n"/>
      <c r="S30" s="32" t="n"/>
      <c r="AB30" s="54" t="n"/>
      <c r="AC30" s="54" t="n"/>
      <c r="AD30" s="44" t="n"/>
      <c r="AE30" s="44" t="n"/>
      <c r="AN30" s="63" t="n"/>
    </row>
    <row r="31" ht="15" customHeight="1">
      <c r="F31" s="44" t="n"/>
      <c r="J31" s="53" t="n"/>
      <c r="S31" s="32" t="n"/>
      <c r="AB31" s="54" t="n"/>
      <c r="AC31" s="54" t="n"/>
      <c r="AD31" s="44" t="n"/>
      <c r="AE31" s="44" t="n"/>
      <c r="AN31" s="63" t="n"/>
    </row>
    <row r="32" ht="15" customHeight="1"/>
    <row r="33" ht="15" customHeight="1"/>
    <row r="34" ht="15" customHeight="1"/>
    <row r="35" ht="15" customHeight="1"/>
    <row r="36" ht="15" customHeight="1"/>
    <row r="37" ht="15" customHeight="1"/>
    <row r="38" ht="15" customHeight="1"/>
    <row r="39" ht="15" customHeight="1"/>
    <row r="40" ht="15" customHeight="1"/>
  </sheetData>
  <autoFilter ref="A1:AN31"/>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R15"/>
  <sheetViews>
    <sheetView showGridLines="0" tabSelected="1" zoomScaleNormal="100" workbookViewId="0">
      <selection activeCell="A1" sqref="A1"/>
    </sheetView>
  </sheetViews>
  <sheetFormatPr baseColWidth="8" defaultColWidth="8.7109375" defaultRowHeight="12.75"/>
  <cols>
    <col width="22" customWidth="1" min="1" max="1"/>
    <col width="20" customWidth="1" min="2" max="2"/>
    <col width="22" customWidth="1" min="3" max="3"/>
    <col width="12" customWidth="1" min="4" max="4"/>
    <col width="6" customWidth="1" min="5" max="6"/>
    <col width="30" customWidth="1" min="6" max="6"/>
    <col width="8" customWidth="1" min="7" max="7"/>
    <col width="10" customWidth="1" min="8" max="8"/>
  </cols>
  <sheetData>
    <row r="1" ht="15" customHeight="1">
      <c r="A1" s="231" t="inlineStr">
        <is>
          <t>Building Name</t>
        </is>
      </c>
      <c r="B1" s="231" t="inlineStr">
        <is>
          <t>Building Address</t>
        </is>
      </c>
      <c r="C1" s="231" t="inlineStr">
        <is>
          <t>Building City</t>
        </is>
      </c>
      <c r="D1" s="231" t="inlineStr">
        <is>
          <t>Subject/Comp</t>
        </is>
      </c>
      <c r="E1" s="231" t="inlineStr">
        <is>
          <t>Source Site</t>
        </is>
      </c>
      <c r="F1" s="231" t="inlineStr">
        <is>
          <t>Source URL</t>
        </is>
      </c>
      <c r="G1" s="231" t="inlineStr">
        <is>
          <t>Date Read</t>
        </is>
      </c>
      <c r="H1" s="231" t="inlineStr">
        <is>
          <t>Suite / Plan Name</t>
        </is>
      </c>
      <c r="I1" s="231" t="inlineStr">
        <is>
          <t>Beds</t>
        </is>
      </c>
      <c r="J1" s="231" t="inlineStr">
        <is>
          <t>Baths</t>
        </is>
      </c>
      <c r="K1" s="231" t="inlineStr">
        <is>
          <t>Interior SF</t>
        </is>
      </c>
      <c r="L1" s="231" t="inlineStr">
        <is>
          <t>Exposure</t>
        </is>
      </c>
      <c r="M1" s="231" t="inlineStr">
        <is>
          <t>Floor Band</t>
        </is>
      </c>
      <c r="N1" s="231" t="inlineStr">
        <is>
          <t>Stack / Line</t>
        </is>
      </c>
      <c r="O1" s="231" t="inlineStr">
        <is>
          <t>Balcony/Terrace</t>
        </is>
      </c>
      <c r="P1" s="231" t="inlineStr">
        <is>
          <t>Notes</t>
        </is>
      </c>
      <c r="Q1" s="231" t="inlineStr">
        <is>
          <t>Used For Unit(s)</t>
        </is>
      </c>
      <c r="R1" s="231" t="inlineStr">
        <is>
          <t>Verification Tier</t>
        </is>
      </c>
    </row>
    <row r="2" ht="15" customHeight="1">
      <c r="A2" s="232" t="inlineStr">
        <is>
          <t>The Humber</t>
        </is>
      </c>
      <c r="B2" s="232" t="inlineStr">
        <is>
          <t>10 Wilby Crescent</t>
        </is>
      </c>
      <c r="C2" s="232" t="inlineStr">
        <is>
          <t>Toronto (Weston)</t>
        </is>
      </c>
      <c r="D2" s="232" t="inlineStr">
        <is>
          <t>comp</t>
        </is>
      </c>
      <c r="E2" s="232" t="inlineStr">
        <is>
          <t>vipcondostoronto.net</t>
        </is>
      </c>
      <c r="F2" s="232" t="inlineStr">
        <is>
          <t>searched on-page (never guessed) — building plan page</t>
        </is>
      </c>
      <c r="G2" s="232" t="n"/>
      <c r="H2" s="232" t="inlineStr">
        <is>
          <t>1B</t>
        </is>
      </c>
      <c r="I2" t="n">
        <v>1</v>
      </c>
      <c r="J2" t="n">
        <v>1</v>
      </c>
      <c r="K2" s="26" t="n">
        <v>556</v>
      </c>
      <c r="L2" t="inlineStr">
        <is>
          <t>NW</t>
        </is>
      </c>
      <c r="R2" t="inlineStr">
        <is>
          <t>plate-verified</t>
        </is>
      </c>
    </row>
    <row r="3" ht="15" customHeight="1">
      <c r="A3" s="232" t="inlineStr">
        <is>
          <t>The Humber</t>
        </is>
      </c>
      <c r="B3" s="232" t="inlineStr">
        <is>
          <t>10 Wilby Crescent</t>
        </is>
      </c>
      <c r="C3" s="232" t="inlineStr">
        <is>
          <t>Toronto (Weston)</t>
        </is>
      </c>
      <c r="D3" s="232" t="inlineStr">
        <is>
          <t>comp</t>
        </is>
      </c>
      <c r="E3" s="232" t="inlineStr">
        <is>
          <t>vipcondostoronto.net</t>
        </is>
      </c>
      <c r="F3" s="232" t="inlineStr">
        <is>
          <t>searched on-page (never guessed) — building plan page</t>
        </is>
      </c>
      <c r="G3" s="232" t="n"/>
      <c r="H3" s="232" t="inlineStr">
        <is>
          <t>1A</t>
        </is>
      </c>
      <c r="I3" t="n">
        <v>1</v>
      </c>
      <c r="J3" t="n">
        <v>1</v>
      </c>
      <c r="K3" s="26" t="n">
        <v>617</v>
      </c>
      <c r="L3" t="inlineStr">
        <is>
          <t>E</t>
        </is>
      </c>
      <c r="R3" t="inlineStr">
        <is>
          <t>plate-verified</t>
        </is>
      </c>
    </row>
    <row r="4" ht="15" customHeight="1">
      <c r="A4" s="232" t="inlineStr">
        <is>
          <t>The Humber</t>
        </is>
      </c>
      <c r="B4" s="232" t="inlineStr">
        <is>
          <t>10 Wilby Crescent</t>
        </is>
      </c>
      <c r="C4" s="232" t="inlineStr">
        <is>
          <t>Toronto (Weston)</t>
        </is>
      </c>
      <c r="D4" s="232" t="inlineStr">
        <is>
          <t>comp</t>
        </is>
      </c>
      <c r="E4" s="232" t="inlineStr">
        <is>
          <t>vipcondostoronto.net</t>
        </is>
      </c>
      <c r="F4" s="232" t="inlineStr">
        <is>
          <t>searched on-page (never guessed) — building plan page</t>
        </is>
      </c>
      <c r="G4" s="232" t="n"/>
      <c r="H4" s="232" t="inlineStr">
        <is>
          <t>1D-583</t>
        </is>
      </c>
      <c r="I4" t="n">
        <v>1</v>
      </c>
      <c r="J4" t="n">
        <v>1</v>
      </c>
      <c r="K4" s="26" t="n">
        <v>583</v>
      </c>
      <c r="L4" t="inlineStr">
        <is>
          <t>S</t>
        </is>
      </c>
      <c r="R4" t="inlineStr">
        <is>
          <t>plate-verified</t>
        </is>
      </c>
    </row>
    <row r="5" ht="15" customHeight="1">
      <c r="A5" s="232" t="inlineStr">
        <is>
          <t>The Humber</t>
        </is>
      </c>
      <c r="B5" s="232" t="inlineStr">
        <is>
          <t>10 Wilby Crescent</t>
        </is>
      </c>
      <c r="C5" s="232" t="inlineStr">
        <is>
          <t>Toronto (Weston)</t>
        </is>
      </c>
      <c r="D5" s="232" t="inlineStr">
        <is>
          <t>comp</t>
        </is>
      </c>
      <c r="E5" s="232" t="inlineStr">
        <is>
          <t>vipcondostoronto.net</t>
        </is>
      </c>
      <c r="F5" s="232" t="inlineStr">
        <is>
          <t>searched on-page (never guessed) — building plan page</t>
        </is>
      </c>
      <c r="G5" s="232" t="n"/>
      <c r="H5" s="232" t="inlineStr">
        <is>
          <t>1D-588</t>
        </is>
      </c>
      <c r="I5" t="n">
        <v>1</v>
      </c>
      <c r="J5" t="n">
        <v>1</v>
      </c>
      <c r="K5" s="26" t="n">
        <v>588</v>
      </c>
      <c r="L5" t="inlineStr">
        <is>
          <t>SW</t>
        </is>
      </c>
      <c r="R5" t="inlineStr">
        <is>
          <t>plate-verified</t>
        </is>
      </c>
    </row>
    <row r="6" ht="15" customHeight="1">
      <c r="A6" s="232" t="inlineStr">
        <is>
          <t>The Humber</t>
        </is>
      </c>
      <c r="B6" s="232" t="inlineStr">
        <is>
          <t>10 Wilby Crescent</t>
        </is>
      </c>
      <c r="C6" s="232" t="inlineStr">
        <is>
          <t>Toronto (Weston)</t>
        </is>
      </c>
      <c r="D6" s="232" t="inlineStr">
        <is>
          <t>comp</t>
        </is>
      </c>
      <c r="E6" s="232" t="inlineStr">
        <is>
          <t>vipcondostoronto.net</t>
        </is>
      </c>
      <c r="F6" s="232" t="inlineStr">
        <is>
          <t>searched on-page (never guessed) — building plan page</t>
        </is>
      </c>
      <c r="G6" s="232" t="n"/>
      <c r="H6" s="232" t="inlineStr">
        <is>
          <t>1D-663</t>
        </is>
      </c>
      <c r="I6" t="n">
        <v>1</v>
      </c>
      <c r="J6" t="n">
        <v>1</v>
      </c>
      <c r="K6" s="26" t="n">
        <v>663</v>
      </c>
      <c r="L6" t="inlineStr">
        <is>
          <t>NE</t>
        </is>
      </c>
      <c r="R6" t="inlineStr">
        <is>
          <t>plate-verified</t>
        </is>
      </c>
    </row>
    <row r="7" ht="15" customHeight="1">
      <c r="A7" s="232" t="inlineStr">
        <is>
          <t>The Humber</t>
        </is>
      </c>
      <c r="B7" s="232" t="inlineStr">
        <is>
          <t>10 Wilby Crescent</t>
        </is>
      </c>
      <c r="C7" s="232" t="inlineStr">
        <is>
          <t>Toronto (Weston)</t>
        </is>
      </c>
      <c r="D7" s="232" t="inlineStr">
        <is>
          <t>comp</t>
        </is>
      </c>
      <c r="E7" s="232" t="inlineStr">
        <is>
          <t>vipcondostoronto.net</t>
        </is>
      </c>
      <c r="F7" s="232" t="inlineStr">
        <is>
          <t>searched on-page (never guessed) — building plan page</t>
        </is>
      </c>
      <c r="G7" s="232" t="n"/>
      <c r="H7" s="232" t="inlineStr">
        <is>
          <t>1D-694</t>
        </is>
      </c>
      <c r="I7" t="n">
        <v>1</v>
      </c>
      <c r="J7" t="n">
        <v>1</v>
      </c>
      <c r="K7" s="26" t="n">
        <v>694</v>
      </c>
      <c r="L7" t="inlineStr">
        <is>
          <t>S</t>
        </is>
      </c>
      <c r="R7" t="inlineStr">
        <is>
          <t>plate-verified</t>
        </is>
      </c>
    </row>
    <row r="8" ht="15" customHeight="1">
      <c r="A8" s="232" t="inlineStr">
        <is>
          <t>The Humber</t>
        </is>
      </c>
      <c r="B8" s="232" t="inlineStr">
        <is>
          <t>10 Wilby Crescent</t>
        </is>
      </c>
      <c r="C8" s="232" t="inlineStr">
        <is>
          <t>Toronto (Weston)</t>
        </is>
      </c>
      <c r="D8" s="232" t="inlineStr">
        <is>
          <t>comp</t>
        </is>
      </c>
      <c r="E8" s="232" t="inlineStr">
        <is>
          <t>vipcondostoronto.net</t>
        </is>
      </c>
      <c r="F8" s="232" t="inlineStr">
        <is>
          <t>searched on-page (never guessed) — building plan page</t>
        </is>
      </c>
      <c r="G8" s="232" t="n"/>
      <c r="H8" s="232" t="inlineStr">
        <is>
          <t>1DX-751</t>
        </is>
      </c>
      <c r="I8" t="n">
        <v>1</v>
      </c>
      <c r="J8" t="n">
        <v>2</v>
      </c>
      <c r="K8" s="26" t="n">
        <v>751</v>
      </c>
      <c r="L8" t="inlineStr">
        <is>
          <t>NE</t>
        </is>
      </c>
      <c r="R8" t="inlineStr">
        <is>
          <t>plate-verified</t>
        </is>
      </c>
    </row>
    <row r="9" ht="15" customHeight="1">
      <c r="A9" s="232" t="inlineStr">
        <is>
          <t>The Humber</t>
        </is>
      </c>
      <c r="B9" s="232" t="inlineStr">
        <is>
          <t>10 Wilby Crescent</t>
        </is>
      </c>
      <c r="C9" s="232" t="inlineStr">
        <is>
          <t>Toronto (Weston)</t>
        </is>
      </c>
      <c r="D9" s="232" t="inlineStr">
        <is>
          <t>comp</t>
        </is>
      </c>
      <c r="E9" s="232" t="inlineStr">
        <is>
          <t>vipcondostoronto.net</t>
        </is>
      </c>
      <c r="F9" s="232" t="inlineStr">
        <is>
          <t>searched on-page (never guessed) — building plan page</t>
        </is>
      </c>
      <c r="G9" s="232" t="n"/>
      <c r="H9" s="232" t="inlineStr">
        <is>
          <t>2A-694</t>
        </is>
      </c>
      <c r="I9" t="n">
        <v>2</v>
      </c>
      <c r="J9" t="n">
        <v>2</v>
      </c>
      <c r="K9" s="26" t="n">
        <v>694</v>
      </c>
      <c r="L9" t="inlineStr">
        <is>
          <t>S/W/NE</t>
        </is>
      </c>
      <c r="R9" t="inlineStr">
        <is>
          <t>plate-verified</t>
        </is>
      </c>
    </row>
    <row r="10" ht="15" customHeight="1">
      <c r="A10" s="232" t="inlineStr">
        <is>
          <t>The Humber</t>
        </is>
      </c>
      <c r="B10" s="232" t="inlineStr">
        <is>
          <t>10 Wilby Crescent</t>
        </is>
      </c>
      <c r="C10" s="232" t="inlineStr">
        <is>
          <t>Toronto (Weston)</t>
        </is>
      </c>
      <c r="D10" s="232" t="inlineStr">
        <is>
          <t>comp</t>
        </is>
      </c>
      <c r="E10" s="232" t="inlineStr">
        <is>
          <t>vipcondostoronto.net</t>
        </is>
      </c>
      <c r="F10" s="232" t="inlineStr">
        <is>
          <t>searched on-page (never guessed) — building plan page</t>
        </is>
      </c>
      <c r="G10" s="232" t="n"/>
      <c r="H10" s="232" t="inlineStr">
        <is>
          <t>2B-715</t>
        </is>
      </c>
      <c r="I10" t="n">
        <v>2</v>
      </c>
      <c r="J10" t="n">
        <v>2</v>
      </c>
      <c r="K10" s="26" t="n">
        <v>715</v>
      </c>
      <c r="L10" t="inlineStr">
        <is>
          <t>N/NE</t>
        </is>
      </c>
      <c r="R10" t="inlineStr">
        <is>
          <t>plate-verified</t>
        </is>
      </c>
    </row>
    <row r="11" ht="15" customHeight="1">
      <c r="A11" s="232" t="inlineStr">
        <is>
          <t>The Humber</t>
        </is>
      </c>
      <c r="B11" s="232" t="inlineStr">
        <is>
          <t>10 Wilby Crescent</t>
        </is>
      </c>
      <c r="C11" s="232" t="inlineStr">
        <is>
          <t>Toronto (Weston)</t>
        </is>
      </c>
      <c r="D11" s="232" t="inlineStr">
        <is>
          <t>comp</t>
        </is>
      </c>
      <c r="E11" s="232" t="inlineStr">
        <is>
          <t>vipcondostoronto.net</t>
        </is>
      </c>
      <c r="F11" s="232" t="inlineStr">
        <is>
          <t>searched on-page (never guessed) — building plan page</t>
        </is>
      </c>
      <c r="G11" s="232" t="n"/>
      <c r="H11" s="232" t="inlineStr">
        <is>
          <t>2C-788</t>
        </is>
      </c>
      <c r="I11" t="n">
        <v>2</v>
      </c>
      <c r="J11" t="n">
        <v>2</v>
      </c>
      <c r="K11" s="26" t="n">
        <v>788</v>
      </c>
      <c r="L11" t="inlineStr">
        <is>
          <t>NE</t>
        </is>
      </c>
      <c r="R11" t="inlineStr">
        <is>
          <t>plate-verified</t>
        </is>
      </c>
    </row>
    <row r="12" ht="15" customHeight="1">
      <c r="A12" s="232" t="inlineStr">
        <is>
          <t>The Humber</t>
        </is>
      </c>
      <c r="B12" s="232" t="inlineStr">
        <is>
          <t>10 Wilby Crescent</t>
        </is>
      </c>
      <c r="C12" s="232" t="inlineStr">
        <is>
          <t>Toronto (Weston)</t>
        </is>
      </c>
      <c r="D12" s="232" t="inlineStr">
        <is>
          <t>comp</t>
        </is>
      </c>
      <c r="E12" s="232" t="inlineStr">
        <is>
          <t>vipcondostoronto.net</t>
        </is>
      </c>
      <c r="F12" s="232" t="inlineStr">
        <is>
          <t>searched on-page (never guessed) — building plan page</t>
        </is>
      </c>
      <c r="G12" s="232" t="n"/>
      <c r="H12" s="232" t="inlineStr">
        <is>
          <t>2D-797</t>
        </is>
      </c>
      <c r="I12" t="n">
        <v>2</v>
      </c>
      <c r="J12" t="n">
        <v>2</v>
      </c>
      <c r="K12" s="26" t="n">
        <v>797</v>
      </c>
      <c r="L12" t="inlineStr">
        <is>
          <t>NE</t>
        </is>
      </c>
      <c r="R12" t="inlineStr">
        <is>
          <t>plate-verified</t>
        </is>
      </c>
    </row>
    <row r="13" ht="15" customHeight="1">
      <c r="A13" s="232" t="inlineStr">
        <is>
          <t>The Humber</t>
        </is>
      </c>
      <c r="B13" s="232" t="inlineStr">
        <is>
          <t>10 Wilby Crescent</t>
        </is>
      </c>
      <c r="C13" s="232" t="inlineStr">
        <is>
          <t>Toronto (Weston)</t>
        </is>
      </c>
      <c r="D13" s="232" t="inlineStr">
        <is>
          <t>comp</t>
        </is>
      </c>
      <c r="E13" s="232" t="inlineStr">
        <is>
          <t>vipcondostoronto.net</t>
        </is>
      </c>
      <c r="F13" s="232" t="inlineStr">
        <is>
          <t>searched on-page (never guessed) — building plan page</t>
        </is>
      </c>
      <c r="G13" s="232" t="n"/>
      <c r="H13" s="232" t="inlineStr">
        <is>
          <t>2E-816</t>
        </is>
      </c>
      <c r="I13" t="n">
        <v>2</v>
      </c>
      <c r="J13" t="n">
        <v>2</v>
      </c>
      <c r="K13" s="26" t="n">
        <v>816</v>
      </c>
      <c r="L13" t="inlineStr">
        <is>
          <t>E</t>
        </is>
      </c>
      <c r="R13" t="inlineStr">
        <is>
          <t>plate-verified</t>
        </is>
      </c>
    </row>
    <row r="14" ht="15" customHeight="1">
      <c r="A14" s="232" t="inlineStr">
        <is>
          <t>The Humber</t>
        </is>
      </c>
      <c r="B14" s="232" t="inlineStr">
        <is>
          <t>10 Wilby Crescent</t>
        </is>
      </c>
      <c r="C14" s="232" t="inlineStr">
        <is>
          <t>Toronto (Weston)</t>
        </is>
      </c>
      <c r="D14" s="232" t="inlineStr">
        <is>
          <t>comp</t>
        </is>
      </c>
      <c r="E14" s="232" t="inlineStr">
        <is>
          <t>vipcondostoronto.net</t>
        </is>
      </c>
      <c r="F14" s="232" t="inlineStr">
        <is>
          <t>searched on-page (never guessed) — building plan page</t>
        </is>
      </c>
      <c r="G14" s="232" t="n"/>
      <c r="H14" s="232" t="inlineStr">
        <is>
          <t>3A-988</t>
        </is>
      </c>
      <c r="I14" t="n">
        <v>3</v>
      </c>
      <c r="J14" t="n">
        <v>2</v>
      </c>
      <c r="K14" s="26" t="n">
        <v>988</v>
      </c>
      <c r="L14" t="inlineStr">
        <is>
          <t>SW</t>
        </is>
      </c>
      <c r="R14" t="inlineStr">
        <is>
          <t>plate-verified</t>
        </is>
      </c>
    </row>
    <row r="15" ht="15" customHeight="1">
      <c r="A15" s="233" t="inlineStr">
        <is>
          <t>NOTE — log every VIPcondos plan opened during a session here, one row per distinct plan (subject plans tagged '(SUBJECT)' in Building Name). If only condos.ca registered areas were used and no VIPcondos plans were opened, do not invent plan rows.</t>
        </is>
      </c>
    </row>
    <row r="16" ht="15" customHeight="1"/>
    <row r="17" ht="15" customHeight="1"/>
    <row r="18" ht="15" customHeight="1"/>
    <row r="19" ht="15" customHeight="1"/>
    <row r="20" ht="15" customHeight="1"/>
    <row r="21" ht="15" customHeight="1"/>
    <row r="22" ht="15" customHeight="1"/>
  </sheetData>
  <autoFilter ref="A1:H1"/>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2026-06-04T16:07:41Z</dcterms:created>
  <dcterms:modified xsi:type="dcterms:W3CDTF">2026-06-17T15:42:12Z</dcterms:modified>
  <cp:lastModifiedBy>Nathan Park</cp:lastModifiedBy>
  <cp:revision>0</cp:revision>
</cp:coreProperties>
</file>