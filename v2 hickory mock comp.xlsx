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97a242c75650f6a/Desktop/highsirse-Claude-co-work-tool-main/"/>
    </mc:Choice>
  </mc:AlternateContent>
  <xr:revisionPtr revIDLastSave="37" documentId="8_{7F43DB68-0E37-164C-A639-EC651CFBF301}" xr6:coauthVersionLast="47" xr6:coauthVersionMax="47" xr10:uidLastSave="{43AA48BD-5A3E-44C1-8F77-795F9A42E2B4}"/>
  <bookViews>
    <workbookView xWindow="-120" yWindow="-120" windowWidth="29040" windowHeight="15720" tabRatio="500" activeTab="5" xr2:uid="{00000000-000D-0000-FFFF-FFFF00000000}"/>
  </bookViews>
  <sheets>
    <sheet name="Output" sheetId="6" r:id="rId1"/>
    <sheet name="Subject &amp; Conclusion" sheetId="1" r:id="rId2"/>
    <sheet name="Building Summary" sheetId="2" r:id="rId3"/>
    <sheet name="Data_Summary" sheetId="3" r:id="rId4"/>
    <sheet name="RD Condos" sheetId="4" r:id="rId5"/>
    <sheet name="RD Apartments" sheetId="7" r:id="rId6"/>
    <sheet name="Floor Plans" sheetId="5" r:id="rId7"/>
  </sheets>
  <definedNames>
    <definedName name="_xlnm._FilterDatabase" localSheetId="6" hidden="1">'Floor Plans'!$A$1:$H$1</definedName>
    <definedName name="_xlnm._FilterDatabase" localSheetId="5" hidden="1">'RD Apartments'!$A$1:$AN$31</definedName>
    <definedName name="_xlnm._FilterDatabase" localSheetId="4" hidden="1">'RD Condos'!$A$1:$AN$31</definedName>
  </definedNames>
  <calcPr calcId="191029" iterate="1" iterateCount="100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2" i="7" l="1"/>
  <c r="AD2" i="7"/>
  <c r="G2" i="7"/>
  <c r="I2" i="7" s="1"/>
  <c r="E2" i="7"/>
  <c r="AN2" i="7" s="1"/>
  <c r="D2" i="7"/>
  <c r="F2" i="7" s="1"/>
  <c r="C2" i="7"/>
  <c r="A2" i="7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2" i="4"/>
  <c r="H2" i="7" l="1"/>
  <c r="AE31" i="4"/>
  <c r="AD31" i="4"/>
  <c r="I31" i="4"/>
  <c r="C31" i="4"/>
  <c r="E31" i="4" s="1"/>
  <c r="AN31" i="4" s="1"/>
  <c r="A31" i="4"/>
  <c r="AE30" i="4"/>
  <c r="AD30" i="4"/>
  <c r="H30" i="4"/>
  <c r="C30" i="4"/>
  <c r="E30" i="4" s="1"/>
  <c r="AN30" i="4" s="1"/>
  <c r="A30" i="4"/>
  <c r="AE29" i="4"/>
  <c r="AD29" i="4"/>
  <c r="H29" i="4"/>
  <c r="C29" i="4"/>
  <c r="E29" i="4" s="1"/>
  <c r="AN29" i="4" s="1"/>
  <c r="A29" i="4"/>
  <c r="AE28" i="4"/>
  <c r="AD28" i="4"/>
  <c r="I28" i="4"/>
  <c r="C28" i="4"/>
  <c r="E28" i="4" s="1"/>
  <c r="AN28" i="4" s="1"/>
  <c r="A28" i="4"/>
  <c r="AE27" i="4"/>
  <c r="AD27" i="4"/>
  <c r="I27" i="4"/>
  <c r="C27" i="4"/>
  <c r="E27" i="4" s="1"/>
  <c r="AN27" i="4" s="1"/>
  <c r="A27" i="4"/>
  <c r="AE26" i="4"/>
  <c r="AD26" i="4"/>
  <c r="I26" i="4"/>
  <c r="C26" i="4"/>
  <c r="E26" i="4" s="1"/>
  <c r="AN26" i="4" s="1"/>
  <c r="A26" i="4"/>
  <c r="AE25" i="4"/>
  <c r="AD25" i="4"/>
  <c r="I25" i="4"/>
  <c r="C25" i="4"/>
  <c r="D25" i="4" s="1"/>
  <c r="F25" i="4" s="1"/>
  <c r="A25" i="4"/>
  <c r="AE24" i="4"/>
  <c r="AD24" i="4"/>
  <c r="I24" i="4"/>
  <c r="C24" i="4"/>
  <c r="E24" i="4" s="1"/>
  <c r="AN24" i="4" s="1"/>
  <c r="A24" i="4"/>
  <c r="AE23" i="4"/>
  <c r="AD23" i="4"/>
  <c r="I23" i="4"/>
  <c r="C23" i="4"/>
  <c r="E23" i="4" s="1"/>
  <c r="AN23" i="4" s="1"/>
  <c r="A23" i="4"/>
  <c r="AE22" i="4"/>
  <c r="AD22" i="4"/>
  <c r="I22" i="4"/>
  <c r="C22" i="4"/>
  <c r="D22" i="4" s="1"/>
  <c r="F22" i="4" s="1"/>
  <c r="A22" i="4"/>
  <c r="AE21" i="4"/>
  <c r="AD21" i="4"/>
  <c r="H21" i="4"/>
  <c r="C21" i="4"/>
  <c r="D21" i="4" s="1"/>
  <c r="F21" i="4" s="1"/>
  <c r="A21" i="4"/>
  <c r="AE20" i="4"/>
  <c r="AD20" i="4"/>
  <c r="I20" i="4"/>
  <c r="C20" i="4"/>
  <c r="D20" i="4" s="1"/>
  <c r="F20" i="4" s="1"/>
  <c r="A20" i="4"/>
  <c r="AE19" i="4"/>
  <c r="AD19" i="4"/>
  <c r="I19" i="4"/>
  <c r="C19" i="4"/>
  <c r="E19" i="4" s="1"/>
  <c r="AN19" i="4" s="1"/>
  <c r="A19" i="4"/>
  <c r="AE18" i="4"/>
  <c r="AD18" i="4"/>
  <c r="I18" i="4"/>
  <c r="C18" i="4"/>
  <c r="E18" i="4" s="1"/>
  <c r="AN18" i="4" s="1"/>
  <c r="A18" i="4"/>
  <c r="AE17" i="4"/>
  <c r="AD17" i="4"/>
  <c r="H17" i="4"/>
  <c r="C17" i="4"/>
  <c r="D17" i="4" s="1"/>
  <c r="F17" i="4" s="1"/>
  <c r="A17" i="4"/>
  <c r="AE16" i="4"/>
  <c r="AD16" i="4"/>
  <c r="H16" i="4"/>
  <c r="C16" i="4"/>
  <c r="E16" i="4" s="1"/>
  <c r="AN16" i="4" s="1"/>
  <c r="A16" i="4"/>
  <c r="AE15" i="4"/>
  <c r="AD15" i="4"/>
  <c r="I15" i="4"/>
  <c r="C15" i="4"/>
  <c r="E15" i="4" s="1"/>
  <c r="AN15" i="4" s="1"/>
  <c r="A15" i="4"/>
  <c r="AE14" i="4"/>
  <c r="AD14" i="4"/>
  <c r="I14" i="4"/>
  <c r="C14" i="4"/>
  <c r="E14" i="4" s="1"/>
  <c r="AN14" i="4" s="1"/>
  <c r="A14" i="4"/>
  <c r="AE13" i="4"/>
  <c r="AD13" i="4"/>
  <c r="H13" i="4"/>
  <c r="C13" i="4"/>
  <c r="E13" i="4" s="1"/>
  <c r="AN13" i="4" s="1"/>
  <c r="A13" i="4"/>
  <c r="AE12" i="4"/>
  <c r="AD12" i="4"/>
  <c r="H12" i="4"/>
  <c r="I12" i="4"/>
  <c r="C12" i="4"/>
  <c r="E12" i="4" s="1"/>
  <c r="AN12" i="4" s="1"/>
  <c r="A12" i="4"/>
  <c r="AE11" i="4"/>
  <c r="AD11" i="4"/>
  <c r="I11" i="4"/>
  <c r="C11" i="4"/>
  <c r="E11" i="4" s="1"/>
  <c r="AN11" i="4" s="1"/>
  <c r="A11" i="4"/>
  <c r="AE10" i="4"/>
  <c r="AD10" i="4"/>
  <c r="I10" i="4"/>
  <c r="C10" i="4"/>
  <c r="E10" i="4" s="1"/>
  <c r="AN10" i="4" s="1"/>
  <c r="A10" i="4"/>
  <c r="AE9" i="4"/>
  <c r="AD9" i="4"/>
  <c r="I9" i="4"/>
  <c r="C9" i="4"/>
  <c r="D9" i="4" s="1"/>
  <c r="F9" i="4" s="1"/>
  <c r="A9" i="4"/>
  <c r="AE8" i="4"/>
  <c r="AD8" i="4"/>
  <c r="I8" i="4"/>
  <c r="C8" i="4"/>
  <c r="E8" i="4" s="1"/>
  <c r="AN8" i="4" s="1"/>
  <c r="A8" i="4"/>
  <c r="AE7" i="4"/>
  <c r="AD7" i="4"/>
  <c r="I7" i="4"/>
  <c r="C7" i="4"/>
  <c r="E7" i="4" s="1"/>
  <c r="AN7" i="4" s="1"/>
  <c r="A7" i="4"/>
  <c r="AE6" i="4"/>
  <c r="AD6" i="4"/>
  <c r="I6" i="4"/>
  <c r="C6" i="4"/>
  <c r="E6" i="4" s="1"/>
  <c r="AN6" i="4" s="1"/>
  <c r="A6" i="4"/>
  <c r="AE5" i="4"/>
  <c r="AD5" i="4"/>
  <c r="I5" i="4"/>
  <c r="H5" i="4"/>
  <c r="C5" i="4"/>
  <c r="E5" i="4" s="1"/>
  <c r="AN5" i="4" s="1"/>
  <c r="A5" i="4"/>
  <c r="AE4" i="4"/>
  <c r="AD4" i="4"/>
  <c r="I4" i="4"/>
  <c r="C4" i="4"/>
  <c r="E4" i="4" s="1"/>
  <c r="AN4" i="4" s="1"/>
  <c r="A4" i="4"/>
  <c r="AE3" i="4"/>
  <c r="AD3" i="4"/>
  <c r="I3" i="4"/>
  <c r="C3" i="4"/>
  <c r="E3" i="4" s="1"/>
  <c r="AN3" i="4" s="1"/>
  <c r="A3" i="4"/>
  <c r="AE2" i="4"/>
  <c r="AD2" i="4"/>
  <c r="I2" i="4"/>
  <c r="C2" i="4"/>
  <c r="E2" i="4" s="1"/>
  <c r="A2" i="4"/>
  <c r="C24" i="3"/>
  <c r="C22" i="1"/>
  <c r="C20" i="1"/>
  <c r="E22" i="4" l="1"/>
  <c r="AN22" i="4" s="1"/>
  <c r="E21" i="4"/>
  <c r="AN21" i="4" s="1"/>
  <c r="L5" i="2"/>
  <c r="J4" i="2"/>
  <c r="F8" i="3"/>
  <c r="E7" i="3"/>
  <c r="L4" i="2"/>
  <c r="C34" i="1" s="1"/>
  <c r="D7" i="3"/>
  <c r="D8" i="3" s="1"/>
  <c r="K4" i="2"/>
  <c r="B34" i="1" s="1"/>
  <c r="F7" i="3"/>
  <c r="D6" i="4"/>
  <c r="F6" i="4" s="1"/>
  <c r="D12" i="4"/>
  <c r="F12" i="4" s="1"/>
  <c r="E20" i="4"/>
  <c r="AN20" i="4" s="1"/>
  <c r="H9" i="4"/>
  <c r="D31" i="4"/>
  <c r="F31" i="4" s="1"/>
  <c r="H8" i="4"/>
  <c r="H4" i="4"/>
  <c r="H28" i="4"/>
  <c r="H24" i="4"/>
  <c r="D23" i="4"/>
  <c r="F23" i="4" s="1"/>
  <c r="I13" i="4"/>
  <c r="I17" i="4"/>
  <c r="D7" i="4"/>
  <c r="F7" i="4" s="1"/>
  <c r="H11" i="4"/>
  <c r="I16" i="4"/>
  <c r="H3" i="4"/>
  <c r="H27" i="4"/>
  <c r="H19" i="4"/>
  <c r="H20" i="4"/>
  <c r="I21" i="4"/>
  <c r="D30" i="4"/>
  <c r="F30" i="4" s="1"/>
  <c r="D14" i="4"/>
  <c r="F14" i="4" s="1"/>
  <c r="H26" i="4"/>
  <c r="D13" i="4"/>
  <c r="F13" i="4" s="1"/>
  <c r="H18" i="4"/>
  <c r="H25" i="4"/>
  <c r="I29" i="4"/>
  <c r="H2" i="4"/>
  <c r="H10" i="4"/>
  <c r="D28" i="4"/>
  <c r="F28" i="4" s="1"/>
  <c r="D29" i="4"/>
  <c r="F29" i="4" s="1"/>
  <c r="D8" i="4"/>
  <c r="F8" i="4" s="1"/>
  <c r="E9" i="4"/>
  <c r="AN9" i="4" s="1"/>
  <c r="D16" i="4"/>
  <c r="F16" i="4" s="1"/>
  <c r="E17" i="4"/>
  <c r="AN17" i="4" s="1"/>
  <c r="I30" i="4"/>
  <c r="D4" i="4"/>
  <c r="F4" i="4" s="1"/>
  <c r="D5" i="4"/>
  <c r="F5" i="4" s="1"/>
  <c r="D15" i="4"/>
  <c r="F15" i="4" s="1"/>
  <c r="D24" i="4"/>
  <c r="F24" i="4" s="1"/>
  <c r="E25" i="4"/>
  <c r="AN25" i="4" s="1"/>
  <c r="E8" i="3"/>
  <c r="K5" i="2"/>
  <c r="AN2" i="4"/>
  <c r="M5" i="2" s="1"/>
  <c r="D3" i="4"/>
  <c r="F3" i="4" s="1"/>
  <c r="H7" i="4"/>
  <c r="D11" i="4"/>
  <c r="F11" i="4" s="1"/>
  <c r="H15" i="4"/>
  <c r="D19" i="4"/>
  <c r="F19" i="4" s="1"/>
  <c r="H23" i="4"/>
  <c r="D27" i="4"/>
  <c r="F27" i="4" s="1"/>
  <c r="H31" i="4"/>
  <c r="D2" i="4"/>
  <c r="F2" i="4" s="1"/>
  <c r="H6" i="4"/>
  <c r="D10" i="4"/>
  <c r="F10" i="4" s="1"/>
  <c r="H14" i="4"/>
  <c r="D18" i="4"/>
  <c r="F18" i="4" s="1"/>
  <c r="H22" i="4"/>
  <c r="D26" i="4"/>
  <c r="F26" i="4" s="1"/>
  <c r="M4" i="2" l="1"/>
  <c r="G7" i="3"/>
  <c r="B18" i="3"/>
  <c r="B13" i="3"/>
  <c r="B11" i="3"/>
  <c r="E19" i="3"/>
  <c r="E17" i="3"/>
  <c r="C19" i="3"/>
  <c r="B12" i="1" s="1"/>
  <c r="C17" i="3"/>
  <c r="B10" i="1" s="1"/>
  <c r="D19" i="3"/>
  <c r="F19" i="3" s="1"/>
  <c r="C12" i="1" s="1"/>
  <c r="D17" i="3"/>
  <c r="F17" i="3" s="1"/>
  <c r="C10" i="1" s="1"/>
  <c r="D12" i="3"/>
  <c r="C36" i="1" s="1"/>
  <c r="E18" i="3"/>
  <c r="E11" i="3"/>
  <c r="D35" i="1" s="1"/>
  <c r="C18" i="3"/>
  <c r="B11" i="1" s="1"/>
  <c r="B19" i="3"/>
  <c r="B12" i="3"/>
  <c r="D18" i="3"/>
  <c r="F18" i="3" s="1"/>
  <c r="C11" i="1" s="1"/>
  <c r="D13" i="3"/>
  <c r="C37" i="1" s="1"/>
  <c r="D11" i="3"/>
  <c r="C35" i="1" s="1"/>
  <c r="C13" i="3"/>
  <c r="B37" i="1" s="1"/>
  <c r="C11" i="3"/>
  <c r="B35" i="1" s="1"/>
  <c r="C12" i="3"/>
  <c r="B36" i="1" s="1"/>
  <c r="B17" i="3"/>
  <c r="D34" i="1"/>
  <c r="J5" i="2"/>
  <c r="E13" i="3"/>
  <c r="G8" i="3" l="1"/>
  <c r="E12" i="3"/>
  <c r="D36" i="1" s="1"/>
  <c r="D37" i="1"/>
  <c r="C22" i="3"/>
  <c r="C25" i="3" s="1"/>
  <c r="C23" i="3" l="1"/>
  <c r="C26" i="3" s="1"/>
  <c r="C6" i="1" s="1"/>
  <c r="C19" i="1"/>
  <c r="D16" i="1"/>
  <c r="D15" i="1" l="1"/>
  <c r="C4" i="1"/>
  <c r="C28" i="3"/>
  <c r="C23" i="1" s="1"/>
  <c r="C21" i="1"/>
</calcChain>
</file>

<file path=xl/sharedStrings.xml><?xml version="1.0" encoding="utf-8"?>
<sst xmlns="http://schemas.openxmlformats.org/spreadsheetml/2006/main" count="1023" uniqueCount="360">
  <si>
    <t>★  TLDR — RECOMMENDED RENT · Hickory Tree Tower Condos</t>
  </si>
  <si>
    <t>Subject = current comp evidence (The Humber, 2023, ~250 m) grossed up by your new-build / lease-up premium.  Confidence: HIGH.</t>
  </si>
  <si>
    <t>RECOMMENDED SUBJECT RENT ($/SF)</t>
  </si>
  <si>
    <t>Basis: Humber comp $/SF (Data_Summary!C25) x (1 + premium Data_Summary!C4)</t>
  </si>
  <si>
    <t>Conservative basis (all-comp + premium)</t>
  </si>
  <si>
    <t>RECOMMENDED MONTHLY RENT — by suite type (subject = Humber comp + premium)</t>
  </si>
  <si>
    <t>Suite type</t>
  </si>
  <si>
    <t>Avg SF</t>
  </si>
  <si>
    <t>Recommended Rent</t>
  </si>
  <si>
    <t>1-Bed / 1+Den</t>
  </si>
  <si>
    <t>2-Bed</t>
  </si>
  <si>
    <t>3-Bed</t>
  </si>
  <si>
    <t>Custom suite — enter size (sq ft) →</t>
  </si>
  <si>
    <t>Implied rent @ recommended subject $/SF</t>
  </si>
  <si>
    <t>Implied rent @ raw comp $/SF (no premium)</t>
  </si>
  <si>
    <t>WHY THIS DIFFERS FROM YOUR PRIOR ~$3.90/SF</t>
  </si>
  <si>
    <t>Current-market comp $/SF — The Humber (2026 leases)</t>
  </si>
  <si>
    <t>market evidence today</t>
  </si>
  <si>
    <t>+ New-build / lease-up premium</t>
  </si>
  <si>
    <t>your prior model assumption</t>
  </si>
  <si>
    <t>Recommended subject $/SF (current market)</t>
  </si>
  <si>
    <t>this workbook</t>
  </si>
  <si>
    <t>Your prior subject $/SF (2024-rent anchored)</t>
  </si>
  <si>
    <t>Data_Old "Wilby figures"</t>
  </si>
  <si>
    <t>Residual vs prior</t>
  </si>
  <si>
    <t>~ rent softening 2024-2026 (-7 to -9%/yr) + comp-mix / den-grouping</t>
  </si>
  <si>
    <t>Validation: my Humber 2-Bed $/SF = $3.25 — identical to your prior "Wilby" 2-Bed $3.25. Method is sound; the gap is premium + market timing, not the comps.</t>
  </si>
  <si>
    <t>Confidence colours (Raw Data / Building Summary):</t>
  </si>
  <si>
    <t>High = leased in-window, SF verified per-unit</t>
  </si>
  <si>
    <t>Med = active/asking, older lease, or minor SF caveat</t>
  </si>
  <si>
    <t>Low = SF estimate/bracket only, or partial-unit</t>
  </si>
  <si>
    <t>Comp-derived detail (raw $/SF, before premium)</t>
  </si>
  <si>
    <t>Benchmark</t>
  </si>
  <si>
    <t>Avg Leased Rent</t>
  </si>
  <si>
    <t>Avg $/SF</t>
  </si>
  <si>
    <t>Note</t>
  </si>
  <si>
    <t>The Humber only (new build, 2023)</t>
  </si>
  <si>
    <t>PRIMARY</t>
  </si>
  <si>
    <t>1-Bed (all comps, den-incl.)</t>
  </si>
  <si>
    <t>2-Bed (all comps)</t>
  </si>
  <si>
    <t>3-Bed (all comps)</t>
  </si>
  <si>
    <t>• Subject: Hickory Tree Tower — Arkfield/A1, DIALOG, 38 storeys/446 suites, 1736-1746 Weston Rd (Planning Phase; no plans/rentals of its own yet).</t>
  </si>
  <si>
    <t>• Apartment adjustment set to 0 (off) per instruction; current comps are all condos.</t>
  </si>
  <si>
    <t>• The Humber &amp; River Hill SF verified per-unit; Winston House &amp; Emmett House SF bracket-only (approx, red).</t>
  </si>
  <si>
    <t>• Premium (Data_Summary C4) bridges current comp $/SF to the subject; tunable. Prior model used +12.4–13.3%.</t>
  </si>
  <si>
    <t>• Definitive SF source: registered declaration / developer suite-area schedule (Humber=TSCC-2982) or MPAC.</t>
  </si>
  <si>
    <t>Comp Building Summary — Hickory Tree Tower (1736-1746 Weston Rd)</t>
  </si>
  <si>
    <t>Building</t>
  </si>
  <si>
    <t>Address</t>
  </si>
  <si>
    <t>Developer</t>
  </si>
  <si>
    <t>Yr Built</t>
  </si>
  <si>
    <t>Product</t>
  </si>
  <si>
    <t>Incl.</t>
  </si>
  <si>
    <t>Avg Rent</t>
  </si>
  <si>
    <t>The Humber</t>
  </si>
  <si>
    <t>10 Wilby Crescent</t>
  </si>
  <si>
    <t>Options for Homes</t>
  </si>
  <si>
    <t>Built 2023 (3 yrs)</t>
  </si>
  <si>
    <t>Condo</t>
  </si>
  <si>
    <t>ALL COMPS</t>
  </si>
  <si>
    <t>Date Filter (include leases on/after)</t>
  </si>
  <si>
    <t>Subject unit mix (tunable)</t>
  </si>
  <si>
    <t>Parking Adjustment ($/spot/mo)</t>
  </si>
  <si>
    <t>1BR wt</t>
  </si>
  <si>
    <t>Apartment premium (apt comps only) — OFF</t>
  </si>
  <si>
    <t>set 0 per instruction (no apt comps anyway)</t>
  </si>
  <si>
    <t>2BR wt</t>
  </si>
  <si>
    <t>Subject rental premium (new-build / lease-up; comp $/SF → subject)</t>
  </si>
  <si>
    <t>from your prior Hickory model (Data_Old): +12.4–13.3%. Tunable.</t>
  </si>
  <si>
    <t>3BR wt</t>
  </si>
  <si>
    <t>Comp building rollup (included leases)</t>
  </si>
  <si>
    <t>Built</t>
  </si>
  <si>
    <t>By Bedroom — all comps (den-incl.)</t>
  </si>
  <si>
    <t>Beds</t>
  </si>
  <si>
    <t>1 Bed</t>
  </si>
  <si>
    <t>2 Bed</t>
  </si>
  <si>
    <t>3 Bed</t>
  </si>
  <si>
    <t>By Bedroom — The Humber only (new-build basis)</t>
  </si>
  <si>
    <t>$/SF</t>
  </si>
  <si>
    <t>Subj Rent (+prem)</t>
  </si>
  <si>
    <t>SUBJECT RECOMMENDATION (comp $/SF + premium)</t>
  </si>
  <si>
    <t>Weighted comp $/SF — Humber basis</t>
  </si>
  <si>
    <t>Weighted comp $/SF — all-comp basis</t>
  </si>
  <si>
    <t>Subject rental premium</t>
  </si>
  <si>
    <t>RECOMMENDED subject $/SF (Humber + premium)</t>
  </si>
  <si>
    <t>Subject $/SF (all-comp + premium)</t>
  </si>
  <si>
    <t>Prior model subject (Data_Old, 2024-anchored)</t>
  </si>
  <si>
    <t>Residual vs prior (market timing etc.)</t>
  </si>
  <si>
    <t>Include</t>
  </si>
  <si>
    <t>Sq Ft.</t>
  </si>
  <si>
    <t>Rent</t>
  </si>
  <si>
    <t>Adj. Rent</t>
  </si>
  <si>
    <t>$/sq ft</t>
  </si>
  <si>
    <t>Adj. $/sq ft</t>
  </si>
  <si>
    <t>Adj BD</t>
  </si>
  <si>
    <t>Beds Number</t>
  </si>
  <si>
    <t>Den</t>
  </si>
  <si>
    <t>Date</t>
  </si>
  <si>
    <t>Building Name</t>
  </si>
  <si>
    <t>Building Address</t>
  </si>
  <si>
    <t>Building City</t>
  </si>
  <si>
    <t>Unit #</t>
  </si>
  <si>
    <t>Unit Address</t>
  </si>
  <si>
    <t>Baths</t>
  </si>
  <si>
    <t>Sqft (Condos.ca)</t>
  </si>
  <si>
    <t>MLS Size Range</t>
  </si>
  <si>
    <t># Parking</t>
  </si>
  <si>
    <t>Parking Included</t>
  </si>
  <si>
    <t>Locker</t>
  </si>
  <si>
    <t>Outdoor Space</t>
  </si>
  <si>
    <t>Exposure</t>
  </si>
  <si>
    <t>Building Age</t>
  </si>
  <si>
    <t>Building Amenities</t>
  </si>
  <si>
    <t>Leased Rent ($)</t>
  </si>
  <si>
    <t>Listed Rent ($)</t>
  </si>
  <si>
    <t>PSF (Calculated)</t>
  </si>
  <si>
    <t>PSF (Listing)</t>
  </si>
  <si>
    <t>Furnished</t>
  </si>
  <si>
    <t>Hydro Included</t>
  </si>
  <si>
    <t>Water Included</t>
  </si>
  <si>
    <t>Lease Date</t>
  </si>
  <si>
    <t>MLS#</t>
  </si>
  <si>
    <t>Listing URL</t>
  </si>
  <si>
    <t>Description</t>
  </si>
  <si>
    <t>Product Type</t>
  </si>
  <si>
    <t>$/SF (Product-Adj)</t>
  </si>
  <si>
    <t>Toronto (Weston)</t>
  </si>
  <si>
    <t>1602</t>
  </si>
  <si>
    <t>1602 - 10 Wilby Crescent</t>
  </si>
  <si>
    <t>2</t>
  </si>
  <si>
    <t>600-699 sqft</t>
  </si>
  <si>
    <t>Yes</t>
  </si>
  <si>
    <t>Ensuite</t>
  </si>
  <si>
    <t>Balcony, Patio</t>
  </si>
  <si>
    <t>W</t>
  </si>
  <si>
    <t>Gym, Party Room, Rooftop Deck, Visitor Parking, BBQ, Bike Storage, Concierge, Coin Laundry</t>
  </si>
  <si>
    <t>No</t>
  </si>
  <si>
    <t>2026-04-24</t>
  </si>
  <si>
    <t>W12626670</t>
  </si>
  <si>
    <t>https://condos.ca/toronto/the-humber-10-wilby-crescent-10-wilby-cres/unit-1602-W12626670</t>
  </si>
  <si>
    <t>Leased comp. SF: Verified (condos.ca per-unit).</t>
  </si>
  <si>
    <t>409</t>
  </si>
  <si>
    <t>409 - 10 Wilby Crescent</t>
  </si>
  <si>
    <t>1+1</t>
  </si>
  <si>
    <t>None</t>
  </si>
  <si>
    <t>S</t>
  </si>
  <si>
    <t>2026-04-22</t>
  </si>
  <si>
    <t>W12873004</t>
  </si>
  <si>
    <t>https://condos.ca/toronto/the-humber-10-wilby-crescent-10-wilby-cres/unit-409-W12873004</t>
  </si>
  <si>
    <t>1807</t>
  </si>
  <si>
    <t>1807 - 10 Wilby Crescent</t>
  </si>
  <si>
    <t>700-799 sqft</t>
  </si>
  <si>
    <t>Owned</t>
  </si>
  <si>
    <t>NE</t>
  </si>
  <si>
    <t>2026-04-21</t>
  </si>
  <si>
    <t>W12930642</t>
  </si>
  <si>
    <t>https://condos.ca/toronto/the-humber-10-wilby-crescent-10-wilby-cres/unit-1807-W12930642</t>
  </si>
  <si>
    <t>204</t>
  </si>
  <si>
    <t>204 - 10 Wilby Crescent</t>
  </si>
  <si>
    <t>1</t>
  </si>
  <si>
    <t>E</t>
  </si>
  <si>
    <t>2026-04-13</t>
  </si>
  <si>
    <t>W12051218</t>
  </si>
  <si>
    <t>https://condos.ca/toronto/the-humber-10-wilby-crescent-10-wilby-cres/unit-204-W12051218</t>
  </si>
  <si>
    <t>202</t>
  </si>
  <si>
    <t>202 - 10 Wilby Crescent</t>
  </si>
  <si>
    <t>2026-04-01</t>
  </si>
  <si>
    <t>W12462017</t>
  </si>
  <si>
    <t>https://condos.ca/toronto/the-humber-10-wilby-crescent-10-wilby-cres/unit-202-W12462017</t>
  </si>
  <si>
    <t>1409</t>
  </si>
  <si>
    <t>1409 - 10 Wilby Crescent</t>
  </si>
  <si>
    <t>800-899 sqft</t>
  </si>
  <si>
    <t>2026-03-28</t>
  </si>
  <si>
    <t>W12430606</t>
  </si>
  <si>
    <t>https://condos.ca/toronto/the-humber-10-wilby-crescent-10-wilby-cres/unit-1409-W12430606</t>
  </si>
  <si>
    <t>1005</t>
  </si>
  <si>
    <t>1005 - 10 Wilby Crescent</t>
  </si>
  <si>
    <t>500-599 sqft</t>
  </si>
  <si>
    <t>2026-03-24</t>
  </si>
  <si>
    <t>W12848862</t>
  </si>
  <si>
    <t>https://condos.ca/toronto/the-humber-10-wilby-crescent-10-wilby-cres/unit-1005-W12848862</t>
  </si>
  <si>
    <t>1206</t>
  </si>
  <si>
    <t>1206 - 10 Wilby Crescent</t>
  </si>
  <si>
    <t>3</t>
  </si>
  <si>
    <t>900-999 sqft</t>
  </si>
  <si>
    <t>SW</t>
  </si>
  <si>
    <t>2026-03-03</t>
  </si>
  <si>
    <t>W12473063</t>
  </si>
  <si>
    <t>https://condos.ca/toronto/the-humber-10-wilby-crescent-10-wilby-cres/unit-1206-W12473063</t>
  </si>
  <si>
    <t>308</t>
  </si>
  <si>
    <t>308 - 10 Wilby Crescent</t>
  </si>
  <si>
    <t>2026-01-22</t>
  </si>
  <si>
    <t>W12686952</t>
  </si>
  <si>
    <t>https://condos.ca/toronto/the-humber-10-wilby-crescent-10-wilby-cres/unit-308-W12686952</t>
  </si>
  <si>
    <t>2004</t>
  </si>
  <si>
    <t>2004 - 10 Wilby Crescent</t>
  </si>
  <si>
    <t>2026-01-21</t>
  </si>
  <si>
    <t>W12460996</t>
  </si>
  <si>
    <t>https://condos.ca/toronto/the-humber-10-wilby-crescent-10-wilby-cres/unit-2004-W12460996</t>
  </si>
  <si>
    <t>2102</t>
  </si>
  <si>
    <t>2102 - 10 Wilby Crescent</t>
  </si>
  <si>
    <t>2025-12-18</t>
  </si>
  <si>
    <t>W12372035</t>
  </si>
  <si>
    <t>https://condos.ca/toronto/the-humber-10-wilby-crescent-10-wilby-cres/unit-2102-W12372035</t>
  </si>
  <si>
    <t>405</t>
  </si>
  <si>
    <t>405 - 10 Wilby Crescent</t>
  </si>
  <si>
    <t>2025-10-29</t>
  </si>
  <si>
    <t>W12432828</t>
  </si>
  <si>
    <t>https://condos.ca/toronto/the-humber-10-wilby-crescent-10-wilby-cres/unit-405-W12432828</t>
  </si>
  <si>
    <t>2106</t>
  </si>
  <si>
    <t>2106 - 10 Wilby Crescent</t>
  </si>
  <si>
    <t>2025-10-03</t>
  </si>
  <si>
    <t>W12390989</t>
  </si>
  <si>
    <t>https://condos.ca/toronto/the-humber-10-wilby-crescent-10-wilby-cres/unit-2106-W12390989</t>
  </si>
  <si>
    <t>615</t>
  </si>
  <si>
    <t>615 - 10 Wilby Crescent</t>
  </si>
  <si>
    <t>NW</t>
  </si>
  <si>
    <t>2025-10-02</t>
  </si>
  <si>
    <t>W12339385</t>
  </si>
  <si>
    <t>https://condos.ca/toronto/the-humber-10-wilby-crescent-10-wilby-cres/unit-615-W12339385</t>
  </si>
  <si>
    <t>2006</t>
  </si>
  <si>
    <t>2006 - 10 Wilby Crescent</t>
  </si>
  <si>
    <t>2025-09-23</t>
  </si>
  <si>
    <t>W12057837</t>
  </si>
  <si>
    <t>https://condos.ca/toronto/the-humber-10-wilby-crescent-10-wilby-cres/unit-2006-W12057837</t>
  </si>
  <si>
    <t>407</t>
  </si>
  <si>
    <t>407 - 10 Wilby Crescent</t>
  </si>
  <si>
    <t>2025-09-05</t>
  </si>
  <si>
    <t>W12317619</t>
  </si>
  <si>
    <t>https://condos.ca/toronto/the-humber-10-wilby-crescent-10-wilby-cres/unit-407-W12317619</t>
  </si>
  <si>
    <t>1204</t>
  </si>
  <si>
    <t>1204 - 10 Wilby Crescent</t>
  </si>
  <si>
    <t>2025-08-18</t>
  </si>
  <si>
    <t>W12272427</t>
  </si>
  <si>
    <t>https://condos.ca/toronto/the-humber-10-wilby-crescent-10-wilby-cres/unit-1204-W12272427</t>
  </si>
  <si>
    <t>906</t>
  </si>
  <si>
    <t>906 - 10 Wilby Crescent</t>
  </si>
  <si>
    <t>2025-07-24</t>
  </si>
  <si>
    <t>W12276329</t>
  </si>
  <si>
    <t>https://condos.ca/toronto/the-humber-10-wilby-crescent-10-wilby-cres/unit-906-W12276329</t>
  </si>
  <si>
    <t>901</t>
  </si>
  <si>
    <t>901 - 10 Wilby Crescent</t>
  </si>
  <si>
    <t>2025-07-03</t>
  </si>
  <si>
    <t>W12216889</t>
  </si>
  <si>
    <t>https://condos.ca/toronto/the-humber-10-wilby-crescent-10-wilby-cres/unit-901-W12216889</t>
  </si>
  <si>
    <t>9</t>
  </si>
  <si>
    <t>9 - 10 Wilby Crescent</t>
  </si>
  <si>
    <t>2025-06-26</t>
  </si>
  <si>
    <t>W12049546</t>
  </si>
  <si>
    <t>https://condos.ca/toronto/the-humber-10-wilby-crescent-10-wilby-cres/unit-9-W12049546</t>
  </si>
  <si>
    <t>2025-05-14</t>
  </si>
  <si>
    <t>502</t>
  </si>
  <si>
    <t>502 - 10 Wilby Crescent</t>
  </si>
  <si>
    <t>2025-04-23</t>
  </si>
  <si>
    <t>W12042837</t>
  </si>
  <si>
    <t>https://condos.ca/toronto/the-humber-10-wilby-crescent-10-wilby-cres/unit-502-W12042837</t>
  </si>
  <si>
    <t>2202</t>
  </si>
  <si>
    <t>2202 - 10 Wilby Crescent</t>
  </si>
  <si>
    <t>2025-04-22</t>
  </si>
  <si>
    <t>W12018074</t>
  </si>
  <si>
    <t>https://condos.ca/toronto/the-humber-10-wilby-crescent-10-wilby-cres/unit-2202-W12018074</t>
  </si>
  <si>
    <t>1407</t>
  </si>
  <si>
    <t>1407 - 10 Wilby Crescent</t>
  </si>
  <si>
    <t>2025-04-16</t>
  </si>
  <si>
    <t>W12013340</t>
  </si>
  <si>
    <t>https://condos.ca/toronto/the-humber-10-wilby-crescent-10-wilby-cres/unit-1407-W12013340</t>
  </si>
  <si>
    <t>309</t>
  </si>
  <si>
    <t>309 - 10 Wilby Crescent</t>
  </si>
  <si>
    <t>2025-04-11</t>
  </si>
  <si>
    <t>W12051780</t>
  </si>
  <si>
    <t>https://condos.ca/toronto/the-humber-10-wilby-crescent-10-wilby-cres/unit-309-W12051780</t>
  </si>
  <si>
    <t>907</t>
  </si>
  <si>
    <t>907 - 10 Wilby Crescent</t>
  </si>
  <si>
    <t>2026-05-20</t>
  </si>
  <si>
    <t>W13150160</t>
  </si>
  <si>
    <t>https://condos.ca/toronto/the-humber-10-wilby-crescent-10-wilby-cres/unit-907-W13150160</t>
  </si>
  <si>
    <t>ACTIVE asking rent (not a closed lease). SF verified.</t>
  </si>
  <si>
    <t>Part</t>
  </si>
  <si>
    <t>2026-05-22</t>
  </si>
  <si>
    <t>W13159224</t>
  </si>
  <si>
    <t>https://condos.ca/toronto/the-humber-10-wilby-crescent-10-wilby-cres/unit-1407-W13159224</t>
  </si>
  <si>
    <t>1907</t>
  </si>
  <si>
    <t>1907 - 10 Wilby Crescent</t>
  </si>
  <si>
    <t>N</t>
  </si>
  <si>
    <t>W12841668</t>
  </si>
  <si>
    <t>https://condos.ca/toronto/the-humber-10-wilby-crescent-10-wilby-cres/unit-1907-W12841668</t>
  </si>
  <si>
    <t>1801-P</t>
  </si>
  <si>
    <t>1801-P - 10 Wilby Crescent</t>
  </si>
  <si>
    <t>2026-04-06</t>
  </si>
  <si>
    <t>W12905894</t>
  </si>
  <si>
    <t>https://condos.ca/toronto/the-humber-10-wilby-crescent-10-wilby-cres/unit-1801-P-W12905894</t>
  </si>
  <si>
    <t>Room rental of unit 1801 (P/S) - excluded from PSF.</t>
  </si>
  <si>
    <t>1801-S</t>
  </si>
  <si>
    <t>1801-S - 10 Wilby Crescent</t>
  </si>
  <si>
    <t>2025-07-22</t>
  </si>
  <si>
    <t>W11968666</t>
  </si>
  <si>
    <t>https://condos.ca/toronto/the-humber-10-wilby-crescent-10-wilby-cres/unit-1801-S-W11968666</t>
  </si>
  <si>
    <t>Suite Name</t>
  </si>
  <si>
    <t>Sq Ft</t>
  </si>
  <si>
    <t>1B</t>
  </si>
  <si>
    <t>1A</t>
  </si>
  <si>
    <t>1D-583</t>
  </si>
  <si>
    <t>1D-588</t>
  </si>
  <si>
    <t>1D-663</t>
  </si>
  <si>
    <t>1D-694</t>
  </si>
  <si>
    <t>1DX-751</t>
  </si>
  <si>
    <t>2A-694</t>
  </si>
  <si>
    <t>S/W/NE</t>
  </si>
  <si>
    <t>2B-715</t>
  </si>
  <si>
    <t>N/NE</t>
  </si>
  <si>
    <t>2C-788</t>
  </si>
  <si>
    <t>2D-797</t>
  </si>
  <si>
    <t>2E-816</t>
  </si>
  <si>
    <t>3A-988</t>
  </si>
  <si>
    <t>Storeys</t>
  </si>
  <si>
    <t>Units</t>
  </si>
  <si>
    <t>Area</t>
  </si>
  <si>
    <t>Transaction Count</t>
  </si>
  <si>
    <t>Weston</t>
  </si>
  <si>
    <t>First Occupancy</t>
  </si>
  <si>
    <t>Avg.Lease Date</t>
  </si>
  <si>
    <t>Vacancy</t>
  </si>
  <si>
    <t>Avg Suite Size</t>
  </si>
  <si>
    <t>Adj. Avg. Rent</t>
  </si>
  <si>
    <t>Avg. Net Rent PSF</t>
  </si>
  <si>
    <r>
      <t>Unit Mix Adjusted</t>
    </r>
    <r>
      <rPr>
        <b/>
        <vertAlign val="superscript"/>
        <sz val="10"/>
        <color theme="0"/>
        <rFont val="Arial"/>
        <family val="2"/>
      </rPr>
      <t>1</t>
    </r>
  </si>
  <si>
    <t>Lawrence &amp; Jane St</t>
  </si>
  <si>
    <t>Average</t>
  </si>
  <si>
    <t>PBR Premium</t>
  </si>
  <si>
    <t>Implied Untrended Rent</t>
  </si>
  <si>
    <t>Subject Site (Untrended Rent)</t>
  </si>
  <si>
    <t>Other Excluded</t>
  </si>
  <si>
    <t>Weighted Average</t>
  </si>
  <si>
    <t>TRREB Data (Q1 2026)</t>
  </si>
  <si>
    <t>C14</t>
  </si>
  <si>
    <t>City of Toronto</t>
  </si>
  <si>
    <t>YoY Change</t>
  </si>
  <si>
    <t>Unadjusted</t>
  </si>
  <si>
    <t>1-Bedroom Units</t>
  </si>
  <si>
    <t>1-Bedroom + Den Units</t>
  </si>
  <si>
    <t>2-Bedroom Units</t>
  </si>
  <si>
    <t>3-Bedroom Units</t>
  </si>
  <si>
    <t>Transaction
Count</t>
  </si>
  <si>
    <t>Avg. Suite
Size</t>
  </si>
  <si>
    <t>Adj. Avg.
Rent</t>
  </si>
  <si>
    <t>Avg. Net
Rent PSF</t>
  </si>
  <si>
    <t>Weighted Avg.</t>
  </si>
  <si>
    <t>Low</t>
  </si>
  <si>
    <t>High</t>
  </si>
  <si>
    <t>Weighted Avg. Building Total (Comps)</t>
  </si>
  <si>
    <t>Subject Property (Using Comp $ Rent)</t>
  </si>
  <si>
    <t>Subject Property Rent Building Total</t>
  </si>
  <si>
    <t>Subject Property (Using Comp PSF Rent)</t>
  </si>
  <si>
    <t>Subject Property PSF Rent Building Total</t>
  </si>
  <si>
    <t>Subject Property Rent</t>
  </si>
  <si>
    <t>Regression:</t>
  </si>
  <si>
    <t>Coefficients:</t>
  </si>
  <si>
    <t>Total Building coefficient</t>
  </si>
  <si>
    <t>Subject Property Rent (Increase)</t>
  </si>
  <si>
    <t>Studio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</si>
</sst>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$&quot;* #,##0.00_-;\-&quot;$&quot;* #,##0.00_-;_-&quot;$&quot;* &quot;-&quot;??_-;_-@_-"/>
    <numFmt numFmtId="164" formatCode="\$0.00"/>
    <numFmt numFmtId="165" formatCode="\$#,##0"/>
    <numFmt numFmtId="166" formatCode="0.0%"/>
    <numFmt numFmtId="167" formatCode="yyyy\-mm\-dd"/>
    <numFmt numFmtId="168" formatCode="#,##0_);\(#,##0\);\-_)"/>
    <numFmt numFmtId="169" formatCode="&quot;$&quot;#,##0_);\(&quot;$&quot;#,##0\);\-_)"/>
    <numFmt numFmtId="170" formatCode="0.0%_);\(0.0%\);\-_)"/>
    <numFmt numFmtId="171" formatCode="&quot;$&quot;#,##0.00_);\(&quot;$&quot;#,##0.00\);\-_)"/>
    <numFmt numFmtId="172" formatCode="&quot;$&quot;#,##0.0,,&quot;M&quot;;\(&quot;$&quot;#,##0.0,,&quot;M&quot;\);\-"/>
    <numFmt numFmtId="173" formatCode="&quot;$&quot;#,##0"/>
  </numFmts>
  <fonts count="33">
    <font>
      <sz val="10"/>
      <name val="Arial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i/>
      <sz val="9"/>
      <color rgb="FF1B5E20"/>
      <name val="Arial"/>
      <family val="2"/>
    </font>
    <font>
      <b/>
      <sz val="10"/>
      <name val="Arial"/>
      <family val="2"/>
    </font>
    <font>
      <b/>
      <sz val="18"/>
      <color rgb="FF1B5E20"/>
      <name val="Arial"/>
      <family val="2"/>
    </font>
    <font>
      <i/>
      <sz val="9"/>
      <color rgb="FF595959"/>
      <name val="Arial"/>
      <family val="2"/>
    </font>
    <font>
      <sz val="10"/>
      <color rgb="FF595959"/>
      <name val="Arial"/>
      <family val="2"/>
    </font>
    <font>
      <b/>
      <sz val="12"/>
      <color rgb="FF1B5E20"/>
      <name val="Arial"/>
      <family val="2"/>
    </font>
    <font>
      <b/>
      <sz val="9"/>
      <color rgb="FFFFFFFF"/>
      <name val="Arial"/>
      <family val="2"/>
    </font>
    <font>
      <b/>
      <sz val="12"/>
      <color rgb="FF0000FF"/>
      <name val="Arial"/>
      <family val="2"/>
    </font>
    <font>
      <b/>
      <sz val="11"/>
      <color rgb="FF1F3864"/>
      <name val="Arial"/>
      <family val="2"/>
    </font>
    <font>
      <sz val="9"/>
      <color rgb="FF006100"/>
      <name val="Arial"/>
      <family val="2"/>
    </font>
    <font>
      <sz val="9"/>
      <color rgb="FF9C6500"/>
      <name val="Arial"/>
      <family val="2"/>
    </font>
    <font>
      <sz val="9"/>
      <color rgb="FF9C0006"/>
      <name val="Arial"/>
      <family val="2"/>
    </font>
    <font>
      <b/>
      <sz val="14"/>
      <color rgb="FF1F3864"/>
      <name val="Arial"/>
      <family val="2"/>
    </font>
    <font>
      <sz val="11"/>
      <color theme="1"/>
      <name val="Calibri"/>
      <family val="2"/>
      <charset val="1"/>
    </font>
    <font>
      <b/>
      <sz val="10"/>
      <color rgb="FF006100"/>
      <name val="Arial"/>
      <family val="2"/>
    </font>
    <font>
      <b/>
      <sz val="10"/>
      <color rgb="FF0000FF"/>
      <name val="Arial"/>
      <family val="2"/>
    </font>
    <font>
      <b/>
      <sz val="11"/>
      <color rgb="FF1B5E20"/>
      <name val="Arial"/>
      <family val="2"/>
    </font>
    <font>
      <sz val="10"/>
      <color rgb="FF0000FF"/>
      <name val="Arial"/>
      <family val="2"/>
    </font>
    <font>
      <u/>
      <sz val="10"/>
      <color theme="10"/>
      <name val="Arial"/>
      <family val="2"/>
    </font>
    <font>
      <b/>
      <sz val="9"/>
      <color rgb="FFFFFFFF"/>
      <name val="Arial"/>
      <family val="2"/>
      <charset val="1"/>
    </font>
    <font>
      <sz val="11"/>
      <color theme="1"/>
      <name val="Calibri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Arial Bold"/>
    </font>
    <font>
      <b/>
      <vertAlign val="superscript"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u val="singleAccounting"/>
      <sz val="10"/>
      <color theme="0"/>
      <name val="Arial"/>
      <family val="2"/>
    </font>
    <font>
      <u val="singleAccounting"/>
      <sz val="10"/>
      <color theme="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2E7D32"/>
        <bgColor rgb="FF1B5E20"/>
      </patternFill>
    </fill>
    <fill>
      <patternFill patternType="solid">
        <fgColor rgb="FFE8F5E9"/>
        <bgColor rgb="FFE2EFDA"/>
      </patternFill>
    </fill>
    <fill>
      <patternFill patternType="solid">
        <fgColor rgb="FFC6EFCE"/>
        <bgColor rgb="FFC8E6C9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 style="medium">
        <color rgb="FF2E7D32"/>
      </left>
      <right style="medium">
        <color rgb="FF2E7D32"/>
      </right>
      <top style="medium">
        <color rgb="FF2E7D32"/>
      </top>
      <bottom style="thin">
        <color rgb="FFC8E6C9"/>
      </bottom>
      <diagonal/>
    </border>
    <border>
      <left style="medium">
        <color rgb="FF2E7D32"/>
      </left>
      <right style="medium">
        <color rgb="FF2E7D32"/>
      </right>
      <top style="thin">
        <color rgb="FFC8E6C9"/>
      </top>
      <bottom style="thin">
        <color rgb="FFC8E6C9"/>
      </bottom>
      <diagonal/>
    </border>
    <border>
      <left style="medium">
        <color rgb="FF2E7D32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FFC8E6C9"/>
      </left>
      <right style="medium">
        <color rgb="FF2E7D32"/>
      </right>
      <top style="thin">
        <color rgb="FFC8E6C9"/>
      </top>
      <bottom style="thin">
        <color rgb="FFC8E6C9"/>
      </bottom>
      <diagonal/>
    </border>
    <border>
      <left style="medium">
        <color rgb="FF2E7D32"/>
      </left>
      <right style="thin">
        <color rgb="FFC8E6C9"/>
      </right>
      <top style="thin">
        <color rgb="FFC8E6C9"/>
      </top>
      <bottom style="medium">
        <color rgb="FF2E7D32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medium">
        <color rgb="FF2E7D32"/>
      </bottom>
      <diagonal/>
    </border>
    <border>
      <left style="thin">
        <color rgb="FFC8E6C9"/>
      </left>
      <right style="medium">
        <color rgb="FF2E7D32"/>
      </right>
      <top style="thin">
        <color rgb="FFC8E6C9"/>
      </top>
      <bottom style="medium">
        <color rgb="FF2E7D3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91">
    <xf numFmtId="0" fontId="0" fillId="0" borderId="0" xfId="0"/>
    <xf numFmtId="0" fontId="6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0" borderId="3" xfId="0" applyFont="1" applyBorder="1"/>
    <xf numFmtId="164" fontId="5" fillId="4" borderId="4" xfId="0" applyNumberFormat="1" applyFont="1" applyFill="1" applyBorder="1"/>
    <xf numFmtId="0" fontId="6" fillId="0" borderId="3" xfId="0" applyFont="1" applyBorder="1"/>
    <xf numFmtId="0" fontId="7" fillId="0" borderId="3" xfId="0" applyFont="1" applyBorder="1"/>
    <xf numFmtId="164" fontId="8" fillId="0" borderId="4" xfId="0" applyNumberFormat="1" applyFont="1" applyBorder="1"/>
    <xf numFmtId="0" fontId="9" fillId="5" borderId="3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3" fontId="0" fillId="0" borderId="4" xfId="0" applyNumberFormat="1" applyBorder="1"/>
    <xf numFmtId="165" fontId="8" fillId="4" borderId="4" xfId="0" applyNumberFormat="1" applyFont="1" applyFill="1" applyBorder="1"/>
    <xf numFmtId="3" fontId="10" fillId="6" borderId="4" xfId="0" applyNumberFormat="1" applyFont="1" applyFill="1" applyBorder="1"/>
    <xf numFmtId="0" fontId="0" fillId="0" borderId="6" xfId="0" applyBorder="1"/>
    <xf numFmtId="0" fontId="0" fillId="0" borderId="7" xfId="0" applyBorder="1"/>
    <xf numFmtId="165" fontId="0" fillId="0" borderId="7" xfId="0" applyNumberFormat="1" applyBorder="1"/>
    <xf numFmtId="0" fontId="0" fillId="0" borderId="8" xfId="0" applyBorder="1"/>
    <xf numFmtId="0" fontId="11" fillId="0" borderId="0" xfId="0" applyFont="1"/>
    <xf numFmtId="164" fontId="4" fillId="0" borderId="0" xfId="0" applyNumberFormat="1" applyFont="1"/>
    <xf numFmtId="166" fontId="4" fillId="0" borderId="0" xfId="0" applyNumberFormat="1" applyFont="1"/>
    <xf numFmtId="164" fontId="8" fillId="4" borderId="0" xfId="0" applyNumberFormat="1" applyFont="1" applyFill="1"/>
    <xf numFmtId="164" fontId="4" fillId="7" borderId="0" xfId="0" applyNumberFormat="1" applyFont="1" applyFill="1"/>
    <xf numFmtId="0" fontId="4" fillId="0" borderId="0" xfId="0" applyFont="1"/>
    <xf numFmtId="0" fontId="9" fillId="5" borderId="0" xfId="0" applyFont="1" applyFill="1" applyAlignment="1">
      <alignment horizontal="center"/>
    </xf>
    <xf numFmtId="3" fontId="0" fillId="0" borderId="0" xfId="0" applyNumberFormat="1"/>
    <xf numFmtId="165" fontId="0" fillId="0" borderId="0" xfId="0" applyNumberFormat="1"/>
    <xf numFmtId="164" fontId="0" fillId="4" borderId="0" xfId="0" applyNumberFormat="1" applyFill="1"/>
    <xf numFmtId="164" fontId="0" fillId="8" borderId="0" xfId="0" applyNumberFormat="1" applyFill="1"/>
    <xf numFmtId="0" fontId="15" fillId="0" borderId="0" xfId="0" applyFont="1"/>
    <xf numFmtId="0" fontId="9" fillId="5" borderId="0" xfId="0" applyFont="1" applyFill="1" applyAlignment="1">
      <alignment horizontal="center" wrapText="1"/>
    </xf>
    <xf numFmtId="3" fontId="16" fillId="0" borderId="0" xfId="0" applyNumberFormat="1" applyFont="1"/>
    <xf numFmtId="165" fontId="16" fillId="0" borderId="0" xfId="0" applyNumberFormat="1" applyFont="1"/>
    <xf numFmtId="164" fontId="17" fillId="4" borderId="0" xfId="0" applyNumberFormat="1" applyFont="1" applyFill="1"/>
    <xf numFmtId="0" fontId="4" fillId="10" borderId="0" xfId="0" applyFont="1" applyFill="1"/>
    <xf numFmtId="0" fontId="16" fillId="10" borderId="0" xfId="0" applyFont="1" applyFill="1"/>
    <xf numFmtId="3" fontId="16" fillId="10" borderId="0" xfId="0" applyNumberFormat="1" applyFont="1" applyFill="1"/>
    <xf numFmtId="165" fontId="16" fillId="10" borderId="0" xfId="0" applyNumberFormat="1" applyFont="1" applyFill="1"/>
    <xf numFmtId="164" fontId="16" fillId="10" borderId="0" xfId="0" applyNumberFormat="1" applyFont="1" applyFill="1"/>
    <xf numFmtId="167" fontId="18" fillId="6" borderId="0" xfId="0" applyNumberFormat="1" applyFont="1" applyFill="1"/>
    <xf numFmtId="0" fontId="18" fillId="6" borderId="0" xfId="0" applyFont="1" applyFill="1"/>
    <xf numFmtId="9" fontId="18" fillId="6" borderId="0" xfId="0" applyNumberFormat="1" applyFont="1" applyFill="1"/>
    <xf numFmtId="166" fontId="18" fillId="6" borderId="0" xfId="0" applyNumberFormat="1" applyFont="1" applyFill="1"/>
    <xf numFmtId="164" fontId="16" fillId="0" borderId="0" xfId="0" applyNumberFormat="1" applyFont="1"/>
    <xf numFmtId="0" fontId="9" fillId="5" borderId="0" xfId="0" applyFont="1" applyFill="1"/>
    <xf numFmtId="165" fontId="19" fillId="0" borderId="0" xfId="0" applyNumberFormat="1" applyFont="1"/>
    <xf numFmtId="0" fontId="19" fillId="0" borderId="0" xfId="0" applyFont="1"/>
    <xf numFmtId="166" fontId="16" fillId="0" borderId="0" xfId="0" applyNumberFormat="1" applyFont="1"/>
    <xf numFmtId="164" fontId="19" fillId="4" borderId="0" xfId="0" applyNumberFormat="1" applyFont="1" applyFill="1"/>
    <xf numFmtId="164" fontId="18" fillId="0" borderId="0" xfId="0" applyNumberFormat="1" applyFont="1"/>
    <xf numFmtId="3" fontId="16" fillId="11" borderId="0" xfId="0" applyNumberFormat="1" applyFont="1" applyFill="1"/>
    <xf numFmtId="164" fontId="16" fillId="11" borderId="0" xfId="0" applyNumberFormat="1" applyFont="1" applyFill="1"/>
    <xf numFmtId="167" fontId="16" fillId="0" borderId="0" xfId="0" applyNumberFormat="1" applyFont="1"/>
    <xf numFmtId="3" fontId="20" fillId="0" borderId="0" xfId="0" applyNumberFormat="1" applyFont="1"/>
    <xf numFmtId="3" fontId="16" fillId="7" borderId="0" xfId="0" applyNumberFormat="1" applyFont="1" applyFill="1"/>
    <xf numFmtId="164" fontId="16" fillId="7" borderId="0" xfId="0" applyNumberFormat="1" applyFont="1" applyFill="1"/>
    <xf numFmtId="3" fontId="16" fillId="12" borderId="0" xfId="0" applyNumberFormat="1" applyFont="1" applyFill="1"/>
    <xf numFmtId="164" fontId="16" fillId="12" borderId="0" xfId="0" applyNumberFormat="1" applyFont="1" applyFill="1"/>
    <xf numFmtId="0" fontId="16" fillId="11" borderId="0" xfId="0" applyFont="1" applyFill="1"/>
    <xf numFmtId="0" fontId="1" fillId="0" borderId="0" xfId="0" applyFont="1"/>
    <xf numFmtId="0" fontId="21" fillId="0" borderId="0" xfId="1"/>
    <xf numFmtId="0" fontId="9" fillId="5" borderId="9" xfId="0" applyFont="1" applyFill="1" applyBorder="1" applyAlignment="1">
      <alignment horizontal="center" wrapText="1"/>
    </xf>
    <xf numFmtId="164" fontId="23" fillId="0" borderId="0" xfId="0" applyNumberFormat="1" applyFont="1"/>
    <xf numFmtId="0" fontId="22" fillId="13" borderId="0" xfId="0" applyFont="1" applyFill="1" applyAlignment="1">
      <alignment horizontal="center" wrapText="1"/>
    </xf>
    <xf numFmtId="0" fontId="24" fillId="14" borderId="0" xfId="0" applyFont="1" applyFill="1"/>
    <xf numFmtId="0" fontId="25" fillId="14" borderId="0" xfId="0" applyFont="1" applyFill="1" applyAlignment="1">
      <alignment horizontal="center" vertical="center" wrapText="1"/>
    </xf>
    <xf numFmtId="0" fontId="26" fillId="14" borderId="0" xfId="0" applyFont="1" applyFill="1" applyAlignment="1">
      <alignment horizontal="center" vertical="center"/>
    </xf>
    <xf numFmtId="0" fontId="0" fillId="0" borderId="10" xfId="0" applyBorder="1"/>
    <xf numFmtId="0" fontId="25" fillId="14" borderId="10" xfId="0" applyFont="1" applyFill="1" applyBorder="1" applyAlignment="1">
      <alignment horizontal="centerContinuous"/>
    </xf>
    <xf numFmtId="0" fontId="24" fillId="14" borderId="10" xfId="0" applyFont="1" applyFill="1" applyBorder="1" applyAlignment="1">
      <alignment horizontal="centerContinuous"/>
    </xf>
    <xf numFmtId="0" fontId="0" fillId="16" borderId="11" xfId="0" applyFill="1" applyBorder="1"/>
    <xf numFmtId="0" fontId="0" fillId="15" borderId="12" xfId="0" applyFill="1" applyBorder="1"/>
    <xf numFmtId="0" fontId="0" fillId="15" borderId="11" xfId="0" applyFill="1" applyBorder="1"/>
    <xf numFmtId="0" fontId="0" fillId="15" borderId="15" xfId="0" applyFill="1" applyBorder="1"/>
    <xf numFmtId="0" fontId="0" fillId="0" borderId="16" xfId="0" applyBorder="1"/>
    <xf numFmtId="0" fontId="0" fillId="16" borderId="15" xfId="0" applyFill="1" applyBorder="1"/>
    <xf numFmtId="0" fontId="0" fillId="15" borderId="17" xfId="0" applyFill="1" applyBorder="1"/>
    <xf numFmtId="0" fontId="4" fillId="15" borderId="18" xfId="0" applyFont="1" applyFill="1" applyBorder="1"/>
    <xf numFmtId="0" fontId="1" fillId="0" borderId="19" xfId="0" applyFont="1" applyBorder="1" applyAlignment="1">
      <alignment horizontal="left" indent="2"/>
    </xf>
    <xf numFmtId="0" fontId="0" fillId="0" borderId="19" xfId="0" applyBorder="1"/>
    <xf numFmtId="0" fontId="4" fillId="16" borderId="18" xfId="0" applyFont="1" applyFill="1" applyBorder="1"/>
    <xf numFmtId="0" fontId="4" fillId="15" borderId="20" xfId="0" applyFont="1" applyFill="1" applyBorder="1"/>
    <xf numFmtId="0" fontId="0" fillId="18" borderId="13" xfId="0" applyFill="1" applyBorder="1"/>
    <xf numFmtId="0" fontId="0" fillId="18" borderId="14" xfId="0" applyFill="1" applyBorder="1"/>
    <xf numFmtId="0" fontId="4" fillId="18" borderId="21" xfId="0" applyFont="1" applyFill="1" applyBorder="1"/>
    <xf numFmtId="0" fontId="0" fillId="15" borderId="13" xfId="0" applyFill="1" applyBorder="1"/>
    <xf numFmtId="0" fontId="4" fillId="15" borderId="21" xfId="0" applyFont="1" applyFill="1" applyBorder="1"/>
    <xf numFmtId="0" fontId="0" fillId="15" borderId="14" xfId="0" applyFill="1" applyBorder="1"/>
    <xf numFmtId="0" fontId="28" fillId="0" borderId="0" xfId="0" applyFont="1"/>
    <xf numFmtId="0" fontId="29" fillId="0" borderId="0" xfId="0" applyFont="1"/>
    <xf numFmtId="0" fontId="28" fillId="0" borderId="0" xfId="0" applyFont="1" applyAlignment="1">
      <alignment horizontal="center"/>
    </xf>
    <xf numFmtId="0" fontId="29" fillId="0" borderId="22" xfId="0" applyFont="1" applyBorder="1"/>
    <xf numFmtId="168" fontId="29" fillId="0" borderId="23" xfId="0" applyNumberFormat="1" applyFont="1" applyBorder="1" applyAlignment="1">
      <alignment horizontal="right"/>
    </xf>
    <xf numFmtId="0" fontId="29" fillId="0" borderId="23" xfId="0" applyFont="1" applyBorder="1" applyAlignment="1">
      <alignment horizontal="center"/>
    </xf>
    <xf numFmtId="169" fontId="29" fillId="0" borderId="23" xfId="0" applyNumberFormat="1" applyFont="1" applyBorder="1" applyAlignment="1">
      <alignment horizontal="center"/>
    </xf>
    <xf numFmtId="0" fontId="29" fillId="0" borderId="24" xfId="0" applyFont="1" applyBorder="1" applyAlignment="1">
      <alignment horizontal="center"/>
    </xf>
    <xf numFmtId="0" fontId="29" fillId="0" borderId="25" xfId="0" applyFont="1" applyBorder="1"/>
    <xf numFmtId="168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center"/>
    </xf>
    <xf numFmtId="169" fontId="29" fillId="0" borderId="0" xfId="0" applyNumberFormat="1" applyFont="1" applyAlignment="1">
      <alignment horizontal="center"/>
    </xf>
    <xf numFmtId="0" fontId="29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left" indent="1"/>
    </xf>
    <xf numFmtId="170" fontId="30" fillId="0" borderId="28" xfId="0" applyNumberFormat="1" applyFont="1" applyBorder="1" applyAlignment="1">
      <alignment horizontal="right" indent="1"/>
    </xf>
    <xf numFmtId="0" fontId="30" fillId="0" borderId="28" xfId="0" applyFont="1" applyBorder="1" applyAlignment="1">
      <alignment horizontal="center"/>
    </xf>
    <xf numFmtId="0" fontId="30" fillId="0" borderId="29" xfId="0" applyFont="1" applyBorder="1" applyAlignment="1">
      <alignment horizontal="center"/>
    </xf>
    <xf numFmtId="0" fontId="31" fillId="14" borderId="23" xfId="0" applyFont="1" applyFill="1" applyBorder="1" applyAlignment="1">
      <alignment horizontal="centerContinuous" vertical="center" wrapText="1"/>
    </xf>
    <xf numFmtId="0" fontId="25" fillId="14" borderId="23" xfId="0" applyFont="1" applyFill="1" applyBorder="1" applyAlignment="1">
      <alignment horizontal="centerContinuous" vertical="center" wrapText="1"/>
    </xf>
    <xf numFmtId="0" fontId="25" fillId="14" borderId="23" xfId="0" applyFont="1" applyFill="1" applyBorder="1" applyAlignment="1">
      <alignment horizontal="center" vertical="center"/>
    </xf>
    <xf numFmtId="0" fontId="25" fillId="14" borderId="23" xfId="0" applyFont="1" applyFill="1" applyBorder="1" applyAlignment="1">
      <alignment horizontal="center" vertical="center" wrapText="1"/>
    </xf>
    <xf numFmtId="0" fontId="25" fillId="14" borderId="24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left" vertical="center" indent="2"/>
    </xf>
    <xf numFmtId="0" fontId="29" fillId="0" borderId="0" xfId="0" applyFont="1" applyAlignment="1">
      <alignment horizontal="center" vertical="center"/>
    </xf>
    <xf numFmtId="172" fontId="29" fillId="0" borderId="0" xfId="0" applyNumberFormat="1" applyFont="1" applyAlignment="1">
      <alignment horizontal="center" vertical="center"/>
    </xf>
    <xf numFmtId="173" fontId="29" fillId="0" borderId="0" xfId="0" applyNumberFormat="1" applyFont="1" applyAlignment="1">
      <alignment horizontal="center" vertical="center"/>
    </xf>
    <xf numFmtId="173" fontId="29" fillId="0" borderId="0" xfId="0" applyNumberFormat="1" applyFont="1" applyAlignment="1">
      <alignment horizontal="right" vertical="center" indent="1"/>
    </xf>
    <xf numFmtId="0" fontId="28" fillId="19" borderId="23" xfId="0" applyFont="1" applyFill="1" applyBorder="1" applyAlignment="1">
      <alignment horizontal="left" vertical="center" indent="1"/>
    </xf>
    <xf numFmtId="168" fontId="28" fillId="19" borderId="23" xfId="0" applyNumberFormat="1" applyFont="1" applyFill="1" applyBorder="1" applyAlignment="1">
      <alignment horizontal="center" vertical="center"/>
    </xf>
    <xf numFmtId="0" fontId="30" fillId="19" borderId="0" xfId="0" applyFont="1" applyFill="1" applyAlignment="1">
      <alignment horizontal="left" vertical="center" indent="1"/>
    </xf>
    <xf numFmtId="168" fontId="30" fillId="19" borderId="0" xfId="0" applyNumberFormat="1" applyFont="1" applyFill="1" applyAlignment="1">
      <alignment horizontal="center" vertical="center"/>
    </xf>
    <xf numFmtId="168" fontId="28" fillId="0" borderId="0" xfId="0" applyNumberFormat="1" applyFont="1" applyAlignment="1">
      <alignment horizontal="center" vertical="center"/>
    </xf>
    <xf numFmtId="168" fontId="28" fillId="15" borderId="23" xfId="0" applyNumberFormat="1" applyFont="1" applyFill="1" applyBorder="1" applyAlignment="1">
      <alignment horizontal="center" vertical="center"/>
    </xf>
    <xf numFmtId="168" fontId="28" fillId="15" borderId="9" xfId="0" applyNumberFormat="1" applyFont="1" applyFill="1" applyBorder="1" applyAlignment="1">
      <alignment horizontal="center" vertical="center"/>
    </xf>
    <xf numFmtId="168" fontId="28" fillId="17" borderId="23" xfId="0" applyNumberFormat="1" applyFont="1" applyFill="1" applyBorder="1" applyAlignment="1">
      <alignment horizontal="center" vertical="center"/>
    </xf>
    <xf numFmtId="168" fontId="28" fillId="17" borderId="9" xfId="0" applyNumberFormat="1" applyFont="1" applyFill="1" applyBorder="1" applyAlignment="1">
      <alignment horizontal="center" vertical="center"/>
    </xf>
    <xf numFmtId="168" fontId="29" fillId="0" borderId="0" xfId="0" applyNumberFormat="1" applyFont="1" applyAlignment="1">
      <alignment horizontal="center"/>
    </xf>
    <xf numFmtId="171" fontId="29" fillId="0" borderId="0" xfId="0" applyNumberFormat="1" applyFont="1" applyAlignment="1">
      <alignment horizontal="center"/>
    </xf>
    <xf numFmtId="169" fontId="29" fillId="0" borderId="0" xfId="0" applyNumberFormat="1" applyFont="1" applyAlignment="1">
      <alignment horizontal="center" vertical="center"/>
    </xf>
    <xf numFmtId="171" fontId="29" fillId="0" borderId="0" xfId="0" applyNumberFormat="1" applyFont="1" applyAlignment="1">
      <alignment horizontal="center" vertical="center"/>
    </xf>
    <xf numFmtId="168" fontId="28" fillId="19" borderId="23" xfId="0" applyNumberFormat="1" applyFont="1" applyFill="1" applyBorder="1" applyAlignment="1">
      <alignment horizontal="center"/>
    </xf>
    <xf numFmtId="169" fontId="28" fillId="19" borderId="23" xfId="0" applyNumberFormat="1" applyFont="1" applyFill="1" applyBorder="1" applyAlignment="1">
      <alignment horizontal="center" vertical="center"/>
    </xf>
    <xf numFmtId="171" fontId="28" fillId="19" borderId="23" xfId="0" applyNumberFormat="1" applyFont="1" applyFill="1" applyBorder="1" applyAlignment="1">
      <alignment horizontal="center" vertical="center"/>
    </xf>
    <xf numFmtId="168" fontId="30" fillId="19" borderId="0" xfId="0" applyNumberFormat="1" applyFont="1" applyFill="1" applyAlignment="1">
      <alignment horizontal="center"/>
    </xf>
    <xf numFmtId="169" fontId="30" fillId="19" borderId="0" xfId="0" applyNumberFormat="1" applyFont="1" applyFill="1" applyAlignment="1">
      <alignment horizontal="center" vertical="center"/>
    </xf>
    <xf numFmtId="171" fontId="30" fillId="19" borderId="0" xfId="0" applyNumberFormat="1" applyFont="1" applyFill="1" applyAlignment="1">
      <alignment horizontal="center" vertical="center"/>
    </xf>
    <xf numFmtId="170" fontId="29" fillId="0" borderId="0" xfId="0" applyNumberFormat="1" applyFont="1" applyAlignment="1">
      <alignment horizontal="right" indent="1"/>
    </xf>
    <xf numFmtId="0" fontId="28" fillId="15" borderId="22" xfId="0" applyFont="1" applyFill="1" applyBorder="1"/>
    <xf numFmtId="168" fontId="28" fillId="15" borderId="23" xfId="0" applyNumberFormat="1" applyFont="1" applyFill="1" applyBorder="1" applyAlignment="1">
      <alignment horizontal="center"/>
    </xf>
    <xf numFmtId="169" fontId="28" fillId="15" borderId="23" xfId="0" applyNumberFormat="1" applyFont="1" applyFill="1" applyBorder="1" applyAlignment="1">
      <alignment horizontal="center" vertical="center"/>
    </xf>
    <xf numFmtId="171" fontId="28" fillId="15" borderId="23" xfId="0" applyNumberFormat="1" applyFont="1" applyFill="1" applyBorder="1" applyAlignment="1">
      <alignment horizontal="center" vertical="center"/>
    </xf>
    <xf numFmtId="171" fontId="28" fillId="15" borderId="24" xfId="0" applyNumberFormat="1" applyFont="1" applyFill="1" applyBorder="1" applyAlignment="1">
      <alignment horizontal="center" vertical="center"/>
    </xf>
    <xf numFmtId="0" fontId="28" fillId="15" borderId="30" xfId="0" applyFont="1" applyFill="1" applyBorder="1"/>
    <xf numFmtId="0" fontId="28" fillId="15" borderId="9" xfId="0" applyFont="1" applyFill="1" applyBorder="1"/>
    <xf numFmtId="168" fontId="28" fillId="15" borderId="9" xfId="0" applyNumberFormat="1" applyFont="1" applyFill="1" applyBorder="1" applyAlignment="1">
      <alignment horizontal="center"/>
    </xf>
    <xf numFmtId="169" fontId="28" fillId="15" borderId="9" xfId="0" applyNumberFormat="1" applyFont="1" applyFill="1" applyBorder="1" applyAlignment="1">
      <alignment horizontal="center" vertical="center"/>
    </xf>
    <xf numFmtId="171" fontId="28" fillId="15" borderId="31" xfId="0" applyNumberFormat="1" applyFont="1" applyFill="1" applyBorder="1" applyAlignment="1">
      <alignment horizontal="center" vertical="center"/>
    </xf>
    <xf numFmtId="0" fontId="28" fillId="17" borderId="22" xfId="0" applyFont="1" applyFill="1" applyBorder="1"/>
    <xf numFmtId="168" fontId="28" fillId="17" borderId="23" xfId="0" applyNumberFormat="1" applyFont="1" applyFill="1" applyBorder="1" applyAlignment="1">
      <alignment horizontal="center"/>
    </xf>
    <xf numFmtId="169" fontId="28" fillId="17" borderId="23" xfId="0" applyNumberFormat="1" applyFont="1" applyFill="1" applyBorder="1" applyAlignment="1">
      <alignment horizontal="center" vertical="center"/>
    </xf>
    <xf numFmtId="171" fontId="28" fillId="17" borderId="23" xfId="0" applyNumberFormat="1" applyFont="1" applyFill="1" applyBorder="1" applyAlignment="1">
      <alignment horizontal="center" vertical="center"/>
    </xf>
    <xf numFmtId="171" fontId="28" fillId="17" borderId="24" xfId="0" applyNumberFormat="1" applyFont="1" applyFill="1" applyBorder="1" applyAlignment="1">
      <alignment horizontal="center" vertical="center"/>
    </xf>
    <xf numFmtId="0" fontId="28" fillId="17" borderId="30" xfId="0" applyFont="1" applyFill="1" applyBorder="1"/>
    <xf numFmtId="0" fontId="28" fillId="17" borderId="9" xfId="0" applyFont="1" applyFill="1" applyBorder="1"/>
    <xf numFmtId="168" fontId="28" fillId="17" borderId="9" xfId="0" applyNumberFormat="1" applyFont="1" applyFill="1" applyBorder="1" applyAlignment="1">
      <alignment horizontal="center"/>
    </xf>
    <xf numFmtId="169" fontId="28" fillId="17" borderId="9" xfId="0" applyNumberFormat="1" applyFont="1" applyFill="1" applyBorder="1" applyAlignment="1">
      <alignment horizontal="center" vertical="center"/>
    </xf>
    <xf numFmtId="171" fontId="28" fillId="17" borderId="31" xfId="0" applyNumberFormat="1" applyFont="1" applyFill="1" applyBorder="1" applyAlignment="1">
      <alignment horizontal="center" vertical="center"/>
    </xf>
    <xf numFmtId="0" fontId="28" fillId="0" borderId="25" xfId="0" applyFont="1" applyBorder="1"/>
    <xf numFmtId="168" fontId="28" fillId="0" borderId="0" xfId="0" applyNumberFormat="1" applyFont="1" applyAlignment="1">
      <alignment horizontal="center"/>
    </xf>
    <xf numFmtId="169" fontId="28" fillId="0" borderId="0" xfId="0" applyNumberFormat="1" applyFont="1" applyAlignment="1">
      <alignment horizontal="center" vertical="center"/>
    </xf>
    <xf numFmtId="171" fontId="28" fillId="0" borderId="26" xfId="0" applyNumberFormat="1" applyFont="1" applyBorder="1" applyAlignment="1">
      <alignment horizontal="center" vertical="center"/>
    </xf>
    <xf numFmtId="0" fontId="29" fillId="0" borderId="23" xfId="0" applyFont="1" applyBorder="1"/>
    <xf numFmtId="0" fontId="29" fillId="0" borderId="24" xfId="0" applyFont="1" applyBorder="1"/>
    <xf numFmtId="168" fontId="29" fillId="0" borderId="0" xfId="0" applyNumberFormat="1" applyFont="1"/>
    <xf numFmtId="4" fontId="29" fillId="0" borderId="0" xfId="0" applyNumberFormat="1" applyFont="1"/>
    <xf numFmtId="0" fontId="29" fillId="0" borderId="26" xfId="0" applyFont="1" applyBorder="1"/>
    <xf numFmtId="0" fontId="29" fillId="0" borderId="30" xfId="0" applyFont="1" applyBorder="1"/>
    <xf numFmtId="168" fontId="29" fillId="0" borderId="9" xfId="0" applyNumberFormat="1" applyFont="1" applyBorder="1"/>
    <xf numFmtId="169" fontId="29" fillId="0" borderId="9" xfId="0" applyNumberFormat="1" applyFont="1" applyBorder="1"/>
    <xf numFmtId="0" fontId="29" fillId="0" borderId="9" xfId="0" applyFont="1" applyBorder="1"/>
    <xf numFmtId="0" fontId="29" fillId="0" borderId="31" xfId="0" applyFont="1" applyBorder="1"/>
    <xf numFmtId="0" fontId="9" fillId="5" borderId="0" xfId="0" applyFont="1" applyFill="1" applyAlignment="1">
      <alignment wrapText="1"/>
    </xf>
    <xf numFmtId="1" fontId="16" fillId="0" borderId="0" xfId="0" applyNumberFormat="1" applyFont="1"/>
    <xf numFmtId="0" fontId="14" fillId="9" borderId="0" xfId="0" applyFont="1" applyFill="1"/>
    <xf numFmtId="0" fontId="6" fillId="0" borderId="0" xfId="0" applyFont="1"/>
    <xf numFmtId="0" fontId="3" fillId="0" borderId="0" xfId="0" applyFont="1"/>
    <xf numFmtId="0" fontId="12" fillId="4" borderId="0" xfId="0" applyFont="1" applyFill="1"/>
    <xf numFmtId="0" fontId="13" fillId="8" borderId="0" xfId="0" applyFont="1" applyFill="1"/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8" fillId="15" borderId="23" xfId="0" applyFont="1" applyFill="1" applyBorder="1"/>
    <xf numFmtId="0" fontId="28" fillId="17" borderId="23" xfId="0" applyFont="1" applyFill="1" applyBorder="1"/>
    <xf numFmtId="0" fontId="28" fillId="0" borderId="0" xfId="0" applyFont="1" applyBorder="1"/>
    <xf numFmtId="0" fontId="29" fillId="0" borderId="0" xfId="0" applyFont="1" applyBorder="1"/>
    <xf numFmtId="0" fontId="30" fillId="0" borderId="28" xfId="0" applyFont="1" applyBorder="1" applyAlignment="1">
      <alignment horizontal="left" indent="1"/>
    </xf>
    <xf numFmtId="0" fontId="25" fillId="14" borderId="32" xfId="0" applyFont="1" applyFill="1" applyBorder="1" applyAlignment="1">
      <alignment horizontal="center" vertical="center" wrapText="1"/>
    </xf>
    <xf numFmtId="44" fontId="24" fillId="14" borderId="0" xfId="0" applyNumberFormat="1" applyFont="1" applyFill="1" applyBorder="1" applyAlignment="1">
      <alignment horizontal="centerContinuous" vertical="center"/>
    </xf>
    <xf numFmtId="0" fontId="25" fillId="14" borderId="27" xfId="0" applyFont="1" applyFill="1" applyBorder="1" applyAlignment="1">
      <alignment horizontal="center" vertical="center" wrapText="1"/>
    </xf>
    <xf numFmtId="0" fontId="25" fillId="14" borderId="28" xfId="0" applyFont="1" applyFill="1" applyBorder="1" applyAlignment="1">
      <alignment horizontal="center" vertical="center" wrapText="1"/>
    </xf>
    <xf numFmtId="0" fontId="25" fillId="14" borderId="29" xfId="0" applyFont="1" applyFill="1" applyBorder="1" applyAlignment="1">
      <alignment horizontal="center" vertical="center" wrapText="1"/>
    </xf>
    <xf numFmtId="44" fontId="32" fillId="14" borderId="0" xfId="0" applyNumberFormat="1" applyFont="1" applyFill="1" applyBorder="1" applyAlignment="1">
      <alignment horizontal="centerContinuous" vertical="center"/>
    </xf>
    <xf numFmtId="44" fontId="31" fillId="14" borderId="0" xfId="0" applyNumberFormat="1" applyFont="1" applyFill="1" applyBorder="1" applyAlignment="1">
      <alignment horizontal="centerContinuous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8E6C9"/>
      <rgbColor rgb="FF808080"/>
      <rgbColor rgb="FF9999FF"/>
      <rgbColor rgb="FF993366"/>
      <rgbColor rgb="FFFFF2CC"/>
      <rgbColor rgb="FFE8F5E9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CCECFF"/>
      <color rgb="FFFFF2CC"/>
      <color rgb="FF7F6000"/>
      <color rgb="FFE6EAAC"/>
      <color rgb="FF7F60FF"/>
      <color rgb="FFFFC0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915BE-7661-9041-B649-0BD979E01CB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e56f8a-24b1-4a5a-ad6d-f8a63d57272d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ondos.ca/toronto/the-humber-10-wilby-crescent-10-wilby-cres/unit-2006-W120578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381CE-B4BF-4A44-BA8B-BF39112BC06A}">
  <dimension ref="B2:AE60"/>
  <sheetViews>
    <sheetView showGridLines="0" topLeftCell="A9" zoomScale="85" zoomScaleNormal="85" workbookViewId="0">
      <selection activeCell="A9" sqref="A9"/>
    </sheetView>
  </sheetViews>
  <sheetFormatPr defaultColWidth="8.85546875" defaultRowHeight="12.75"/>
  <cols>
    <col min="1" max="1" width="2.7109375" customWidth="1"/>
    <col min="2" max="2" width="33.28515625" customWidth="1"/>
    <col min="3" max="9" width="10.7109375" customWidth="1"/>
    <col min="10" max="10" width="2.7109375" customWidth="1"/>
    <col min="11" max="11" width="33.28515625" customWidth="1"/>
    <col min="12" max="31" width="11.7109375" customWidth="1"/>
  </cols>
  <sheetData>
    <row r="2" spans="2:18" ht="14.25">
      <c r="B2" s="65"/>
      <c r="C2" s="65"/>
      <c r="D2" s="65"/>
      <c r="E2" s="65"/>
      <c r="F2" s="65"/>
      <c r="G2" s="69" t="s">
        <v>325</v>
      </c>
      <c r="H2" s="70"/>
      <c r="I2" s="70"/>
    </row>
    <row r="3" spans="2:18" ht="38.25">
      <c r="B3" s="67" t="s">
        <v>47</v>
      </c>
      <c r="C3" s="66" t="s">
        <v>319</v>
      </c>
      <c r="D3" s="66" t="s">
        <v>320</v>
      </c>
      <c r="E3" s="66" t="s">
        <v>321</v>
      </c>
      <c r="F3" s="66" t="s">
        <v>317</v>
      </c>
      <c r="G3" s="66" t="s">
        <v>322</v>
      </c>
      <c r="H3" s="66" t="s">
        <v>323</v>
      </c>
      <c r="I3" s="66" t="s">
        <v>324</v>
      </c>
    </row>
    <row r="4" spans="2:18" ht="5.0999999999999996" customHeight="1"/>
    <row r="5" spans="2:18">
      <c r="B5" s="78" t="s">
        <v>326</v>
      </c>
      <c r="C5" s="73"/>
      <c r="D5" s="73"/>
      <c r="E5" s="73"/>
      <c r="F5" s="73"/>
      <c r="G5" s="73"/>
      <c r="H5" s="73"/>
      <c r="I5" s="74"/>
      <c r="R5" s="68"/>
    </row>
    <row r="6" spans="2:18">
      <c r="B6" s="79" t="s">
        <v>54</v>
      </c>
      <c r="I6" s="75"/>
    </row>
    <row r="7" spans="2:18" ht="5.0999999999999996" customHeight="1">
      <c r="B7" s="80"/>
      <c r="I7" s="75"/>
    </row>
    <row r="8" spans="2:18">
      <c r="B8" s="81" t="s">
        <v>327</v>
      </c>
      <c r="C8" s="71"/>
      <c r="D8" s="71"/>
      <c r="E8" s="71"/>
      <c r="F8" s="71"/>
      <c r="G8" s="71"/>
      <c r="H8" s="71"/>
      <c r="I8" s="76"/>
    </row>
    <row r="9" spans="2:18">
      <c r="B9" s="79" t="s">
        <v>328</v>
      </c>
      <c r="I9" s="75"/>
    </row>
    <row r="10" spans="2:18">
      <c r="B10" s="82" t="s">
        <v>329</v>
      </c>
      <c r="C10" s="72"/>
      <c r="D10" s="72"/>
      <c r="E10" s="72"/>
      <c r="F10" s="72"/>
      <c r="G10" s="72"/>
      <c r="H10" s="72"/>
      <c r="I10" s="77"/>
    </row>
    <row r="11" spans="2:18" ht="5.0999999999999996" customHeight="1"/>
    <row r="12" spans="2:18">
      <c r="B12" s="85" t="s">
        <v>330</v>
      </c>
      <c r="C12" s="83"/>
      <c r="D12" s="83"/>
      <c r="E12" s="83"/>
      <c r="F12" s="83"/>
      <c r="G12" s="83"/>
      <c r="H12" s="83"/>
      <c r="I12" s="84"/>
    </row>
    <row r="14" spans="2:18" ht="5.0999999999999996" customHeight="1"/>
    <row r="15" spans="2:18">
      <c r="B15" s="78" t="s">
        <v>331</v>
      </c>
      <c r="C15" s="73"/>
      <c r="D15" s="73"/>
      <c r="E15" s="73"/>
      <c r="F15" s="73"/>
      <c r="G15" s="73"/>
      <c r="H15" s="73"/>
      <c r="I15" s="74"/>
    </row>
    <row r="16" spans="2:18">
      <c r="B16" s="80"/>
      <c r="I16" s="75"/>
    </row>
    <row r="17" spans="2:31">
      <c r="B17" s="80"/>
      <c r="I17" s="75"/>
    </row>
    <row r="18" spans="2:31" ht="5.0999999999999996" customHeight="1">
      <c r="B18" s="80"/>
      <c r="I18" s="75"/>
    </row>
    <row r="19" spans="2:31">
      <c r="B19" s="81" t="s">
        <v>327</v>
      </c>
      <c r="C19" s="71"/>
      <c r="D19" s="71"/>
      <c r="E19" s="71"/>
      <c r="F19" s="71"/>
      <c r="G19" s="71"/>
      <c r="H19" s="71"/>
      <c r="I19" s="76"/>
    </row>
    <row r="20" spans="2:31">
      <c r="B20" s="79" t="s">
        <v>328</v>
      </c>
      <c r="I20" s="75"/>
    </row>
    <row r="21" spans="2:31">
      <c r="B21" s="82" t="s">
        <v>329</v>
      </c>
      <c r="C21" s="72"/>
      <c r="D21" s="72"/>
      <c r="E21" s="72"/>
      <c r="F21" s="72"/>
      <c r="G21" s="72"/>
      <c r="H21" s="72"/>
      <c r="I21" s="77"/>
    </row>
    <row r="23" spans="2:31">
      <c r="B23" s="81" t="s">
        <v>332</v>
      </c>
      <c r="C23" s="71"/>
      <c r="D23" s="71"/>
      <c r="E23" s="71"/>
      <c r="F23" s="71"/>
      <c r="G23" s="71"/>
      <c r="H23" s="71"/>
      <c r="I23" s="76"/>
    </row>
    <row r="24" spans="2:31">
      <c r="B24" s="79" t="s">
        <v>328</v>
      </c>
      <c r="I24" s="75"/>
    </row>
    <row r="25" spans="2:31">
      <c r="B25" s="87" t="s">
        <v>329</v>
      </c>
      <c r="C25" s="86"/>
      <c r="D25" s="86"/>
      <c r="E25" s="86"/>
      <c r="F25" s="86"/>
      <c r="G25" s="86"/>
      <c r="H25" s="86"/>
      <c r="I25" s="88"/>
    </row>
    <row r="27" spans="2:31" ht="15">
      <c r="K27" s="90"/>
      <c r="L27" s="190" t="s">
        <v>359</v>
      </c>
      <c r="M27" s="189"/>
      <c r="N27" s="185"/>
      <c r="O27" s="185"/>
      <c r="P27" s="106" t="s">
        <v>338</v>
      </c>
      <c r="Q27" s="106"/>
      <c r="R27" s="107"/>
      <c r="S27" s="107"/>
      <c r="T27" s="106" t="s">
        <v>339</v>
      </c>
      <c r="U27" s="106"/>
      <c r="V27" s="107"/>
      <c r="W27" s="107"/>
      <c r="X27" s="106" t="s">
        <v>340</v>
      </c>
      <c r="Y27" s="106"/>
      <c r="Z27" s="107"/>
      <c r="AA27" s="107"/>
      <c r="AB27" s="106" t="s">
        <v>341</v>
      </c>
      <c r="AC27" s="106"/>
      <c r="AD27" s="107"/>
      <c r="AE27" s="107"/>
    </row>
    <row r="28" spans="2:31" ht="25.5" customHeight="1">
      <c r="K28" s="108" t="s">
        <v>47</v>
      </c>
      <c r="L28" s="186" t="s">
        <v>342</v>
      </c>
      <c r="M28" s="187" t="s">
        <v>343</v>
      </c>
      <c r="N28" s="187" t="s">
        <v>344</v>
      </c>
      <c r="O28" s="188" t="s">
        <v>345</v>
      </c>
      <c r="P28" s="184" t="s">
        <v>342</v>
      </c>
      <c r="Q28" s="109" t="s">
        <v>343</v>
      </c>
      <c r="R28" s="109" t="s">
        <v>344</v>
      </c>
      <c r="S28" s="110" t="s">
        <v>345</v>
      </c>
      <c r="T28" s="109" t="s">
        <v>342</v>
      </c>
      <c r="U28" s="109" t="s">
        <v>343</v>
      </c>
      <c r="V28" s="109" t="s">
        <v>344</v>
      </c>
      <c r="W28" s="110" t="s">
        <v>345</v>
      </c>
      <c r="X28" s="109" t="s">
        <v>342</v>
      </c>
      <c r="Y28" s="109" t="s">
        <v>343</v>
      </c>
      <c r="Z28" s="109" t="s">
        <v>344</v>
      </c>
      <c r="AA28" s="110" t="s">
        <v>345</v>
      </c>
      <c r="AB28" s="109" t="s">
        <v>342</v>
      </c>
      <c r="AC28" s="109" t="s">
        <v>343</v>
      </c>
      <c r="AD28" s="109" t="s">
        <v>344</v>
      </c>
      <c r="AE28" s="110" t="s">
        <v>345</v>
      </c>
    </row>
    <row r="29" spans="2:31">
      <c r="K29" s="90" t="s">
        <v>54</v>
      </c>
      <c r="L29" s="90"/>
      <c r="M29" s="90"/>
      <c r="N29" s="90"/>
      <c r="O29" s="90"/>
      <c r="P29" s="125"/>
      <c r="Q29" s="125"/>
      <c r="R29" s="100"/>
      <c r="S29" s="126"/>
      <c r="T29" s="125"/>
      <c r="U29" s="125"/>
      <c r="V29" s="100"/>
      <c r="W29" s="126"/>
      <c r="X29" s="125"/>
      <c r="Y29" s="125"/>
      <c r="Z29" s="100"/>
      <c r="AA29" s="126"/>
      <c r="AB29" s="125"/>
      <c r="AC29" s="125"/>
      <c r="AD29" s="100"/>
      <c r="AE29" s="126"/>
    </row>
    <row r="30" spans="2:31">
      <c r="K30" s="111"/>
      <c r="L30" s="111"/>
      <c r="M30" s="111"/>
      <c r="N30" s="111"/>
      <c r="O30" s="111"/>
      <c r="P30" s="112"/>
      <c r="Q30" s="113"/>
      <c r="R30" s="114"/>
      <c r="S30" s="115"/>
      <c r="T30" s="115"/>
      <c r="U30" s="115"/>
      <c r="V30" s="115"/>
      <c r="W30" s="115"/>
      <c r="X30" s="115"/>
      <c r="Y30" s="114"/>
      <c r="Z30" s="114"/>
      <c r="AA30" s="127"/>
      <c r="AB30" s="127"/>
      <c r="AC30" s="128"/>
      <c r="AD30" s="114"/>
      <c r="AE30" s="127"/>
    </row>
    <row r="31" spans="2:31">
      <c r="K31" s="116" t="s">
        <v>346</v>
      </c>
      <c r="L31" s="116"/>
      <c r="M31" s="116"/>
      <c r="N31" s="116"/>
      <c r="O31" s="116"/>
      <c r="P31" s="117"/>
      <c r="Q31" s="129"/>
      <c r="R31" s="130"/>
      <c r="S31" s="131"/>
      <c r="T31" s="117"/>
      <c r="U31" s="129"/>
      <c r="V31" s="130"/>
      <c r="W31" s="131"/>
      <c r="X31" s="117"/>
      <c r="Y31" s="129"/>
      <c r="Z31" s="130"/>
      <c r="AA31" s="131"/>
      <c r="AB31" s="117"/>
      <c r="AC31" s="129"/>
      <c r="AD31" s="130"/>
      <c r="AE31" s="131"/>
    </row>
    <row r="32" spans="2:31">
      <c r="K32" s="118" t="s">
        <v>347</v>
      </c>
      <c r="L32" s="118"/>
      <c r="M32" s="118"/>
      <c r="N32" s="118"/>
      <c r="O32" s="118"/>
      <c r="P32" s="119"/>
      <c r="Q32" s="132"/>
      <c r="R32" s="133"/>
      <c r="S32" s="134"/>
      <c r="T32" s="119"/>
      <c r="U32" s="132"/>
      <c r="V32" s="133"/>
      <c r="W32" s="134"/>
      <c r="X32" s="119"/>
      <c r="Y32" s="132"/>
      <c r="Z32" s="133"/>
      <c r="AA32" s="134"/>
      <c r="AB32" s="119"/>
      <c r="AC32" s="132"/>
      <c r="AD32" s="133"/>
      <c r="AE32" s="134"/>
    </row>
    <row r="33" spans="11:31">
      <c r="K33" s="118" t="s">
        <v>348</v>
      </c>
      <c r="L33" s="118"/>
      <c r="M33" s="118"/>
      <c r="N33" s="118"/>
      <c r="O33" s="118"/>
      <c r="P33" s="119"/>
      <c r="Q33" s="132"/>
      <c r="R33" s="133"/>
      <c r="S33" s="134"/>
      <c r="T33" s="119"/>
      <c r="U33" s="132"/>
      <c r="V33" s="133"/>
      <c r="W33" s="134"/>
      <c r="X33" s="119"/>
      <c r="Y33" s="132"/>
      <c r="Z33" s="133"/>
      <c r="AA33" s="134"/>
      <c r="AB33" s="119"/>
      <c r="AC33" s="132"/>
      <c r="AD33" s="133"/>
      <c r="AE33" s="134"/>
    </row>
    <row r="34" spans="11:31"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</row>
    <row r="35" spans="11:31">
      <c r="K35" s="90" t="s">
        <v>328</v>
      </c>
      <c r="L35" s="90"/>
      <c r="M35" s="90"/>
      <c r="N35" s="90"/>
      <c r="O35" s="90"/>
      <c r="P35" s="90"/>
      <c r="Q35" s="90"/>
      <c r="R35" s="135"/>
      <c r="S35" s="135"/>
      <c r="T35" s="135"/>
      <c r="U35" s="135"/>
      <c r="V35" s="135"/>
      <c r="W35" s="135"/>
      <c r="X35" s="90"/>
      <c r="Y35" s="90"/>
      <c r="Z35" s="135"/>
      <c r="AA35" s="135"/>
      <c r="AB35" s="90"/>
      <c r="AC35" s="90"/>
      <c r="AD35" s="135"/>
      <c r="AE35" s="135"/>
    </row>
    <row r="36" spans="11:31">
      <c r="K36" s="136" t="s">
        <v>346</v>
      </c>
      <c r="L36" s="179"/>
      <c r="M36" s="179"/>
      <c r="N36" s="179"/>
      <c r="O36" s="179"/>
      <c r="P36" s="121"/>
      <c r="Q36" s="137"/>
      <c r="R36" s="138"/>
      <c r="S36" s="139"/>
      <c r="T36" s="121"/>
      <c r="U36" s="137"/>
      <c r="V36" s="138"/>
      <c r="W36" s="139"/>
      <c r="X36" s="121"/>
      <c r="Y36" s="137"/>
      <c r="Z36" s="138"/>
      <c r="AA36" s="139"/>
      <c r="AB36" s="121"/>
      <c r="AC36" s="137"/>
      <c r="AD36" s="138"/>
      <c r="AE36" s="140"/>
    </row>
    <row r="37" spans="11:31">
      <c r="K37" s="141" t="s">
        <v>349</v>
      </c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22"/>
      <c r="AC37" s="143"/>
      <c r="AD37" s="144"/>
      <c r="AE37" s="145"/>
    </row>
    <row r="38" spans="11:31"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</row>
    <row r="39" spans="11:31">
      <c r="K39" s="146" t="s">
        <v>350</v>
      </c>
      <c r="L39" s="180"/>
      <c r="M39" s="180"/>
      <c r="N39" s="180"/>
      <c r="O39" s="180"/>
      <c r="P39" s="123"/>
      <c r="Q39" s="147"/>
      <c r="R39" s="148"/>
      <c r="S39" s="149"/>
      <c r="T39" s="123"/>
      <c r="U39" s="147"/>
      <c r="V39" s="148"/>
      <c r="W39" s="149"/>
      <c r="X39" s="123"/>
      <c r="Y39" s="147"/>
      <c r="Z39" s="148"/>
      <c r="AA39" s="149"/>
      <c r="AB39" s="123"/>
      <c r="AC39" s="147"/>
      <c r="AD39" s="148"/>
      <c r="AE39" s="150"/>
    </row>
    <row r="40" spans="11:31">
      <c r="K40" s="151" t="s">
        <v>351</v>
      </c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24"/>
      <c r="AC40" s="153"/>
      <c r="AD40" s="154"/>
      <c r="AE40" s="155"/>
    </row>
    <row r="41" spans="11:31">
      <c r="K41" s="156"/>
      <c r="L41" s="181"/>
      <c r="M41" s="181"/>
      <c r="N41" s="181"/>
      <c r="O41" s="181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120"/>
      <c r="AC41" s="157"/>
      <c r="AD41" s="158"/>
      <c r="AE41" s="159"/>
    </row>
    <row r="42" spans="11:31">
      <c r="K42" s="146" t="s">
        <v>352</v>
      </c>
      <c r="L42" s="180"/>
      <c r="M42" s="180"/>
      <c r="N42" s="180"/>
      <c r="O42" s="180"/>
      <c r="P42" s="123"/>
      <c r="Q42" s="147"/>
      <c r="R42" s="148"/>
      <c r="S42" s="149"/>
      <c r="T42" s="123"/>
      <c r="U42" s="147"/>
      <c r="V42" s="148"/>
      <c r="W42" s="149"/>
      <c r="X42" s="123"/>
      <c r="Y42" s="147"/>
      <c r="Z42" s="148"/>
      <c r="AA42" s="149"/>
      <c r="AB42" s="123"/>
      <c r="AC42" s="147"/>
      <c r="AD42" s="148"/>
      <c r="AE42" s="150"/>
    </row>
    <row r="43" spans="11:31">
      <c r="K43" s="151" t="s">
        <v>353</v>
      </c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24"/>
      <c r="AC43" s="153"/>
      <c r="AD43" s="154"/>
      <c r="AE43" s="155"/>
    </row>
    <row r="44" spans="11:31"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</row>
    <row r="45" spans="11:31">
      <c r="K45" s="146" t="s">
        <v>354</v>
      </c>
      <c r="L45" s="180"/>
      <c r="M45" s="180"/>
      <c r="N45" s="180"/>
      <c r="O45" s="180"/>
      <c r="P45" s="123"/>
      <c r="Q45" s="147"/>
      <c r="R45" s="148"/>
      <c r="S45" s="149"/>
      <c r="T45" s="123"/>
      <c r="U45" s="147"/>
      <c r="V45" s="148"/>
      <c r="W45" s="149"/>
      <c r="X45" s="123"/>
      <c r="Y45" s="147"/>
      <c r="Z45" s="148"/>
      <c r="AA45" s="149"/>
      <c r="AB45" s="123"/>
      <c r="AC45" s="147"/>
      <c r="AD45" s="148"/>
      <c r="AE45" s="150"/>
    </row>
    <row r="46" spans="11:31">
      <c r="K46" s="151" t="s">
        <v>351</v>
      </c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24"/>
      <c r="AC46" s="153"/>
      <c r="AD46" s="154"/>
      <c r="AE46" s="155"/>
    </row>
    <row r="47" spans="11:31"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</row>
    <row r="48" spans="11:31">
      <c r="K48" s="92" t="s">
        <v>355</v>
      </c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  <c r="AD48" s="160"/>
      <c r="AE48" s="161"/>
    </row>
    <row r="49" spans="11:31">
      <c r="K49" s="97" t="s">
        <v>356</v>
      </c>
      <c r="L49" s="182"/>
      <c r="M49" s="182"/>
      <c r="N49" s="182"/>
      <c r="O49" s="182"/>
      <c r="P49" s="162"/>
      <c r="Q49" s="162"/>
      <c r="R49" s="163"/>
      <c r="S49" s="90"/>
      <c r="T49" s="162"/>
      <c r="U49" s="162"/>
      <c r="V49" s="163"/>
      <c r="W49" s="90"/>
      <c r="X49" s="162"/>
      <c r="Y49" s="162"/>
      <c r="Z49" s="163"/>
      <c r="AA49" s="90"/>
      <c r="AB49" s="162"/>
      <c r="AC49" s="162"/>
      <c r="AD49" s="163"/>
      <c r="AE49" s="164"/>
    </row>
    <row r="50" spans="11:31">
      <c r="K50" s="97" t="s">
        <v>357</v>
      </c>
      <c r="L50" s="182"/>
      <c r="M50" s="182"/>
      <c r="N50" s="182"/>
      <c r="O50" s="182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162"/>
      <c r="AC50" s="90"/>
      <c r="AD50" s="90"/>
      <c r="AE50" s="164"/>
    </row>
    <row r="51" spans="11:31">
      <c r="K51" s="97"/>
      <c r="L51" s="182"/>
      <c r="M51" s="182"/>
      <c r="N51" s="182"/>
      <c r="O51" s="182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164"/>
    </row>
    <row r="52" spans="11:31">
      <c r="K52" s="97" t="s">
        <v>358</v>
      </c>
      <c r="L52" s="182"/>
      <c r="M52" s="182"/>
      <c r="N52" s="182"/>
      <c r="O52" s="182"/>
      <c r="P52" s="162"/>
      <c r="Q52" s="162"/>
      <c r="R52" s="90"/>
      <c r="S52" s="90"/>
      <c r="T52" s="162"/>
      <c r="U52" s="162"/>
      <c r="V52" s="90"/>
      <c r="W52" s="90"/>
      <c r="X52" s="162"/>
      <c r="Y52" s="162"/>
      <c r="Z52" s="90"/>
      <c r="AA52" s="90"/>
      <c r="AB52" s="162"/>
      <c r="AC52" s="162"/>
      <c r="AD52" s="90"/>
      <c r="AE52" s="164"/>
    </row>
    <row r="53" spans="11:31">
      <c r="K53" s="165" t="s">
        <v>354</v>
      </c>
      <c r="L53" s="168"/>
      <c r="M53" s="168"/>
      <c r="N53" s="168"/>
      <c r="O53" s="168"/>
      <c r="P53" s="166"/>
      <c r="Q53" s="166"/>
      <c r="R53" s="167"/>
      <c r="S53" s="168"/>
      <c r="T53" s="168"/>
      <c r="U53" s="168"/>
      <c r="V53" s="168"/>
      <c r="W53" s="168"/>
      <c r="X53" s="166"/>
      <c r="Y53" s="166"/>
      <c r="Z53" s="167"/>
      <c r="AA53" s="168"/>
      <c r="AB53" s="166"/>
      <c r="AC53" s="166"/>
      <c r="AD53" s="167"/>
      <c r="AE53" s="169"/>
    </row>
    <row r="54" spans="11:31"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</row>
    <row r="55" spans="11:31" ht="5.0999999999999996" customHeight="1"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</row>
    <row r="56" spans="11:31">
      <c r="K56" s="90"/>
      <c r="L56" s="90"/>
      <c r="M56" s="90"/>
      <c r="N56" s="90"/>
      <c r="O56" s="90"/>
      <c r="P56" s="90"/>
      <c r="Q56" s="90"/>
      <c r="R56" s="91" t="s">
        <v>337</v>
      </c>
      <c r="S56" s="90"/>
      <c r="T56" s="90"/>
      <c r="U56" s="90"/>
      <c r="V56" s="90"/>
      <c r="W56" s="90"/>
      <c r="X56" s="90"/>
      <c r="Y56" s="90"/>
      <c r="Z56" s="91" t="s">
        <v>337</v>
      </c>
      <c r="AA56" s="90"/>
      <c r="AB56" s="90"/>
      <c r="AC56" s="90"/>
      <c r="AD56" s="91" t="s">
        <v>337</v>
      </c>
      <c r="AE56" s="90"/>
    </row>
    <row r="57" spans="11:31">
      <c r="K57" s="89" t="s">
        <v>333</v>
      </c>
      <c r="L57" s="89"/>
      <c r="M57" s="89"/>
      <c r="N57" s="89"/>
      <c r="O57" s="89"/>
      <c r="P57" s="90"/>
      <c r="Q57" s="90"/>
      <c r="R57" s="91" t="s">
        <v>90</v>
      </c>
      <c r="S57" s="89"/>
      <c r="T57" s="89"/>
      <c r="U57" s="89"/>
      <c r="V57" s="89"/>
      <c r="W57" s="89"/>
      <c r="X57" s="89"/>
      <c r="Y57" s="89"/>
      <c r="Z57" s="91" t="s">
        <v>90</v>
      </c>
      <c r="AA57" s="89"/>
      <c r="AB57" s="89"/>
      <c r="AC57" s="89"/>
      <c r="AD57" s="91" t="s">
        <v>90</v>
      </c>
      <c r="AE57" s="90"/>
    </row>
    <row r="58" spans="11:31">
      <c r="K58" s="92" t="s">
        <v>334</v>
      </c>
      <c r="L58" s="160"/>
      <c r="M58" s="160"/>
      <c r="N58" s="160"/>
      <c r="O58" s="160"/>
      <c r="P58" s="93"/>
      <c r="Q58" s="94"/>
      <c r="R58" s="95"/>
      <c r="S58" s="94"/>
      <c r="T58" s="94"/>
      <c r="U58" s="94"/>
      <c r="V58" s="94"/>
      <c r="W58" s="94"/>
      <c r="X58" s="93"/>
      <c r="Y58" s="94"/>
      <c r="Z58" s="95"/>
      <c r="AA58" s="94"/>
      <c r="AB58" s="94"/>
      <c r="AC58" s="94"/>
      <c r="AD58" s="95"/>
      <c r="AE58" s="96"/>
    </row>
    <row r="59" spans="11:31">
      <c r="K59" s="97" t="s">
        <v>335</v>
      </c>
      <c r="L59" s="182"/>
      <c r="M59" s="182"/>
      <c r="N59" s="182"/>
      <c r="O59" s="182"/>
      <c r="P59" s="98"/>
      <c r="Q59" s="99"/>
      <c r="R59" s="100"/>
      <c r="S59" s="99"/>
      <c r="T59" s="99"/>
      <c r="U59" s="99"/>
      <c r="V59" s="99"/>
      <c r="W59" s="99"/>
      <c r="X59" s="98"/>
      <c r="Y59" s="99"/>
      <c r="Z59" s="100"/>
      <c r="AA59" s="99"/>
      <c r="AB59" s="99"/>
      <c r="AC59" s="99"/>
      <c r="AD59" s="100"/>
      <c r="AE59" s="101"/>
    </row>
    <row r="60" spans="11:31">
      <c r="K60" s="102" t="s">
        <v>336</v>
      </c>
      <c r="L60" s="183"/>
      <c r="M60" s="183"/>
      <c r="N60" s="183"/>
      <c r="O60" s="183"/>
      <c r="P60" s="103"/>
      <c r="Q60" s="104"/>
      <c r="R60" s="103"/>
      <c r="S60" s="104"/>
      <c r="T60" s="104"/>
      <c r="U60" s="104"/>
      <c r="V60" s="104"/>
      <c r="W60" s="104"/>
      <c r="X60" s="103"/>
      <c r="Y60" s="104"/>
      <c r="Z60" s="103"/>
      <c r="AA60" s="104"/>
      <c r="AB60" s="103"/>
      <c r="AC60" s="104"/>
      <c r="AD60" s="103"/>
      <c r="AE60" s="10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showGridLines="0" topLeftCell="A28" zoomScale="125" zoomScaleNormal="100" workbookViewId="0">
      <selection activeCell="A6" sqref="A6"/>
    </sheetView>
  </sheetViews>
  <sheetFormatPr defaultColWidth="8.7109375" defaultRowHeight="12.75"/>
  <cols>
    <col min="1" max="1" width="44" customWidth="1"/>
    <col min="2" max="2" width="12" customWidth="1"/>
    <col min="3" max="3" width="16" customWidth="1"/>
    <col min="4" max="4" width="12" customWidth="1"/>
    <col min="5" max="5" width="30" customWidth="1"/>
    <col min="6" max="6" width="6" customWidth="1"/>
  </cols>
  <sheetData>
    <row r="1" spans="1:6" ht="25.5" customHeight="1">
      <c r="A1" s="177" t="s">
        <v>0</v>
      </c>
      <c r="B1" s="177"/>
      <c r="C1" s="177"/>
      <c r="D1" s="177"/>
      <c r="E1" s="177"/>
      <c r="F1" s="177"/>
    </row>
    <row r="2" spans="1:6">
      <c r="A2" s="178" t="s">
        <v>1</v>
      </c>
      <c r="B2" s="178"/>
      <c r="C2" s="178"/>
      <c r="D2" s="178"/>
      <c r="E2" s="178"/>
      <c r="F2" s="178"/>
    </row>
    <row r="3" spans="1:6">
      <c r="A3" s="2"/>
      <c r="B3" s="3"/>
      <c r="C3" s="3"/>
      <c r="D3" s="3"/>
      <c r="E3" s="3"/>
      <c r="F3" s="4"/>
    </row>
    <row r="4" spans="1:6" ht="23.25">
      <c r="A4" s="5" t="s">
        <v>2</v>
      </c>
      <c r="B4" s="3"/>
      <c r="C4" s="6">
        <f>Data_Summary!C25</f>
        <v>3.7188489533241635</v>
      </c>
      <c r="D4" s="3"/>
      <c r="E4" s="3"/>
      <c r="F4" s="4"/>
    </row>
    <row r="5" spans="1:6">
      <c r="A5" s="7" t="s">
        <v>3</v>
      </c>
      <c r="B5" s="3"/>
      <c r="C5" s="3"/>
      <c r="D5" s="3"/>
      <c r="E5" s="3"/>
      <c r="F5" s="4"/>
    </row>
    <row r="6" spans="1:6" ht="15.75">
      <c r="A6" s="8" t="s">
        <v>4</v>
      </c>
      <c r="B6" s="3"/>
      <c r="C6" s="9">
        <f>Data_Summary!C26</f>
        <v>3.7188489533241635</v>
      </c>
      <c r="D6" s="3"/>
      <c r="E6" s="3"/>
      <c r="F6" s="4"/>
    </row>
    <row r="7" spans="1:6">
      <c r="A7" s="2"/>
      <c r="B7" s="3"/>
      <c r="C7" s="3"/>
      <c r="D7" s="3"/>
      <c r="E7" s="3"/>
      <c r="F7" s="4"/>
    </row>
    <row r="8" spans="1:6">
      <c r="A8" s="5" t="s">
        <v>5</v>
      </c>
      <c r="B8" s="3"/>
      <c r="C8" s="3"/>
      <c r="D8" s="3"/>
      <c r="E8" s="3"/>
      <c r="F8" s="4"/>
    </row>
    <row r="9" spans="1:6">
      <c r="A9" s="10" t="s">
        <v>6</v>
      </c>
      <c r="B9" s="11" t="s">
        <v>7</v>
      </c>
      <c r="C9" s="11" t="s">
        <v>8</v>
      </c>
      <c r="D9" s="3"/>
      <c r="E9" s="3"/>
      <c r="F9" s="4"/>
    </row>
    <row r="10" spans="1:6" ht="15.75">
      <c r="A10" s="2" t="s">
        <v>9</v>
      </c>
      <c r="B10" s="12">
        <f>Data_Summary!C17</f>
        <v>635.1</v>
      </c>
      <c r="C10" s="13">
        <f>Data_Summary!F17</f>
        <v>2401.7334000000001</v>
      </c>
      <c r="D10" s="3"/>
      <c r="E10" s="3"/>
      <c r="F10" s="4"/>
    </row>
    <row r="11" spans="1:6" ht="15.75">
      <c r="A11" s="2" t="s">
        <v>10</v>
      </c>
      <c r="B11" s="12">
        <f>Data_Summary!C18</f>
        <v>760</v>
      </c>
      <c r="C11" s="13">
        <f>Data_Summary!F18</f>
        <v>2796.0821428571426</v>
      </c>
      <c r="D11" s="3"/>
      <c r="E11" s="3"/>
      <c r="F11" s="4"/>
    </row>
    <row r="12" spans="1:6" ht="15.75">
      <c r="A12" s="2" t="s">
        <v>11</v>
      </c>
      <c r="B12" s="12">
        <f>Data_Summary!C19</f>
        <v>988</v>
      </c>
      <c r="C12" s="13">
        <f>Data_Summary!F19</f>
        <v>3328.1875</v>
      </c>
      <c r="D12" s="3"/>
      <c r="E12" s="3"/>
      <c r="F12" s="4"/>
    </row>
    <row r="13" spans="1:6">
      <c r="A13" s="2"/>
      <c r="B13" s="3"/>
      <c r="C13" s="3"/>
      <c r="D13" s="3"/>
      <c r="E13" s="3"/>
      <c r="F13" s="4"/>
    </row>
    <row r="14" spans="1:6" ht="15.75">
      <c r="A14" s="5" t="s">
        <v>12</v>
      </c>
      <c r="B14" s="3"/>
      <c r="C14" s="3"/>
      <c r="D14" s="14">
        <v>700</v>
      </c>
      <c r="E14" s="3"/>
      <c r="F14" s="4"/>
    </row>
    <row r="15" spans="1:6" ht="15.75">
      <c r="A15" s="2" t="s">
        <v>13</v>
      </c>
      <c r="B15" s="3"/>
      <c r="C15" s="3"/>
      <c r="D15" s="13">
        <f>IFERROR(D14*Data_Summary!C25,"")</f>
        <v>2603.1942673269145</v>
      </c>
      <c r="E15" s="3"/>
      <c r="F15" s="4"/>
    </row>
    <row r="16" spans="1:6">
      <c r="A16" s="15" t="s">
        <v>14</v>
      </c>
      <c r="B16" s="16"/>
      <c r="C16" s="16"/>
      <c r="D16" s="17">
        <f>IFERROR(D14*Data_Summary!C22,"")</f>
        <v>2297.6118864315222</v>
      </c>
      <c r="E16" s="16"/>
      <c r="F16" s="18"/>
    </row>
    <row r="18" spans="1:6" ht="15">
      <c r="A18" s="19" t="s">
        <v>15</v>
      </c>
    </row>
    <row r="19" spans="1:6">
      <c r="A19" t="s">
        <v>16</v>
      </c>
      <c r="C19" s="20">
        <f>Data_Summary!C22</f>
        <v>3.2823026949021745</v>
      </c>
      <c r="D19" s="173" t="s">
        <v>17</v>
      </c>
      <c r="E19" s="173"/>
      <c r="F19" s="173"/>
    </row>
    <row r="20" spans="1:6">
      <c r="A20" t="s">
        <v>18</v>
      </c>
      <c r="C20" s="21">
        <f>Data_Summary!C4</f>
        <v>0.13300000000000001</v>
      </c>
      <c r="D20" s="173" t="s">
        <v>19</v>
      </c>
      <c r="E20" s="173"/>
      <c r="F20" s="173"/>
    </row>
    <row r="21" spans="1:6" ht="15.75">
      <c r="A21" t="s">
        <v>20</v>
      </c>
      <c r="C21" s="22">
        <f>Data_Summary!C25</f>
        <v>3.7188489533241635</v>
      </c>
      <c r="D21" s="173" t="s">
        <v>21</v>
      </c>
      <c r="E21" s="173"/>
      <c r="F21" s="173"/>
    </row>
    <row r="22" spans="1:6">
      <c r="A22" t="s">
        <v>22</v>
      </c>
      <c r="C22" s="23">
        <f>Data_Summary!C27</f>
        <v>3.9</v>
      </c>
      <c r="D22" s="173" t="s">
        <v>23</v>
      </c>
      <c r="E22" s="173"/>
      <c r="F22" s="173"/>
    </row>
    <row r="23" spans="1:6">
      <c r="A23" t="s">
        <v>24</v>
      </c>
      <c r="C23" s="21">
        <f>Data_Summary!C28</f>
        <v>-4.6448986327137565E-2</v>
      </c>
      <c r="D23" s="173" t="s">
        <v>25</v>
      </c>
      <c r="E23" s="173"/>
      <c r="F23" s="173"/>
    </row>
    <row r="25" spans="1:6">
      <c r="A25" s="174" t="s">
        <v>26</v>
      </c>
      <c r="B25" s="174"/>
      <c r="C25" s="174"/>
      <c r="D25" s="174"/>
      <c r="E25" s="174"/>
      <c r="F25" s="174"/>
    </row>
    <row r="27" spans="1:6">
      <c r="A27" s="24" t="s">
        <v>27</v>
      </c>
    </row>
    <row r="28" spans="1:6">
      <c r="A28" s="175" t="s">
        <v>28</v>
      </c>
      <c r="B28" s="175"/>
      <c r="C28" s="175"/>
      <c r="D28" s="175"/>
    </row>
    <row r="29" spans="1:6">
      <c r="A29" s="176" t="s">
        <v>29</v>
      </c>
      <c r="B29" s="176"/>
      <c r="C29" s="176"/>
      <c r="D29" s="176"/>
    </row>
    <row r="30" spans="1:6">
      <c r="A30" s="172" t="s">
        <v>30</v>
      </c>
      <c r="B30" s="172"/>
      <c r="C30" s="172"/>
      <c r="D30" s="172"/>
    </row>
    <row r="32" spans="1:6" ht="15">
      <c r="A32" s="19" t="s">
        <v>31</v>
      </c>
    </row>
    <row r="33" spans="1:6">
      <c r="A33" s="25" t="s">
        <v>32</v>
      </c>
      <c r="B33" s="25" t="s">
        <v>7</v>
      </c>
      <c r="C33" s="25" t="s">
        <v>33</v>
      </c>
      <c r="D33" s="25" t="s">
        <v>34</v>
      </c>
      <c r="E33" s="25" t="s">
        <v>35</v>
      </c>
    </row>
    <row r="34" spans="1:6">
      <c r="A34" t="s">
        <v>36</v>
      </c>
      <c r="B34" s="26">
        <f>'Building Summary'!K4</f>
        <v>743.95238095238096</v>
      </c>
      <c r="C34" s="27">
        <f>'Building Summary'!L4</f>
        <v>2391.5714285714284</v>
      </c>
      <c r="D34" s="28">
        <f>'Building Summary'!M4</f>
        <v>3.2553998009608076</v>
      </c>
      <c r="E34" t="s">
        <v>37</v>
      </c>
    </row>
    <row r="35" spans="1:6">
      <c r="A35" t="s">
        <v>38</v>
      </c>
      <c r="B35" s="26">
        <f>Data_Summary!C11</f>
        <v>635.1</v>
      </c>
      <c r="C35" s="27">
        <f>Data_Summary!D11</f>
        <v>2119.8000000000002</v>
      </c>
      <c r="D35" s="29">
        <f>Data_Summary!E11</f>
        <v>3.3662428388373273</v>
      </c>
    </row>
    <row r="36" spans="1:6">
      <c r="A36" t="s">
        <v>39</v>
      </c>
      <c r="B36" s="26">
        <f>Data_Summary!C12</f>
        <v>760</v>
      </c>
      <c r="C36" s="27">
        <f>Data_Summary!D12</f>
        <v>2467.8571428571427</v>
      </c>
      <c r="D36" s="29">
        <f>Data_Summary!E12</f>
        <v>3.2583221258852002</v>
      </c>
    </row>
    <row r="37" spans="1:6">
      <c r="A37" t="s">
        <v>40</v>
      </c>
      <c r="B37" s="26">
        <f>Data_Summary!C13</f>
        <v>988</v>
      </c>
      <c r="C37" s="27">
        <f>Data_Summary!D13</f>
        <v>2937.5</v>
      </c>
      <c r="D37" s="29">
        <f>Data_Summary!E13</f>
        <v>2.9731781376518218</v>
      </c>
    </row>
    <row r="39" spans="1:6">
      <c r="A39" s="1" t="s">
        <v>41</v>
      </c>
      <c r="B39" s="1"/>
      <c r="C39" s="1"/>
      <c r="D39" s="1"/>
      <c r="E39" s="1"/>
    </row>
    <row r="40" spans="1:6">
      <c r="A40" s="1" t="s">
        <v>42</v>
      </c>
      <c r="B40" s="1"/>
      <c r="C40" s="1"/>
      <c r="D40" s="1"/>
      <c r="E40" s="1"/>
      <c r="F40" s="1"/>
    </row>
    <row r="41" spans="1:6">
      <c r="A41" s="1" t="s">
        <v>43</v>
      </c>
      <c r="B41" s="1"/>
      <c r="C41" s="1"/>
      <c r="D41" s="1"/>
      <c r="E41" s="1"/>
      <c r="F41" s="1"/>
    </row>
    <row r="42" spans="1:6">
      <c r="A42" s="1" t="s">
        <v>44</v>
      </c>
      <c r="B42" s="1"/>
      <c r="C42" s="1"/>
      <c r="D42" s="1"/>
      <c r="E42" s="1"/>
      <c r="F42" s="1"/>
    </row>
    <row r="43" spans="1:6">
      <c r="A43" s="1" t="s">
        <v>45</v>
      </c>
      <c r="B43" s="1"/>
      <c r="C43" s="1"/>
      <c r="D43" s="1"/>
      <c r="E43" s="1"/>
      <c r="F43" s="1"/>
    </row>
    <row r="44" spans="1:6">
      <c r="F44" s="1"/>
    </row>
  </sheetData>
  <mergeCells count="11">
    <mergeCell ref="A1:F1"/>
    <mergeCell ref="A2:F2"/>
    <mergeCell ref="D19:F19"/>
    <mergeCell ref="D20:F20"/>
    <mergeCell ref="D21:F21"/>
    <mergeCell ref="A30:D30"/>
    <mergeCell ref="D22:F22"/>
    <mergeCell ref="D23:F23"/>
    <mergeCell ref="A25:F25"/>
    <mergeCell ref="A28:D28"/>
    <mergeCell ref="A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"/>
  <sheetViews>
    <sheetView showGridLines="0" zoomScaleNormal="100" workbookViewId="0">
      <selection activeCell="B5" sqref="B5"/>
    </sheetView>
  </sheetViews>
  <sheetFormatPr defaultColWidth="8.7109375" defaultRowHeight="12.75"/>
  <cols>
    <col min="1" max="1" width="18" customWidth="1"/>
    <col min="2" max="5" width="20" customWidth="1"/>
    <col min="6" max="9" width="9" customWidth="1"/>
    <col min="10" max="10" width="14" bestFit="1" customWidth="1"/>
    <col min="11" max="11" width="9" customWidth="1"/>
    <col min="12" max="12" width="11" customWidth="1"/>
    <col min="13" max="13" width="10" customWidth="1"/>
    <col min="14" max="14" width="24" customWidth="1"/>
  </cols>
  <sheetData>
    <row r="1" spans="1:13" ht="17.25" customHeight="1">
      <c r="A1" s="30" t="s">
        <v>46</v>
      </c>
    </row>
    <row r="3" spans="1:13" ht="15" customHeight="1">
      <c r="A3" s="170" t="s">
        <v>47</v>
      </c>
      <c r="B3" s="170" t="s">
        <v>48</v>
      </c>
      <c r="C3" s="170" t="s">
        <v>316</v>
      </c>
      <c r="D3" s="170" t="s">
        <v>49</v>
      </c>
      <c r="E3" s="170" t="s">
        <v>319</v>
      </c>
      <c r="F3" s="31" t="s">
        <v>50</v>
      </c>
      <c r="G3" s="31" t="s">
        <v>51</v>
      </c>
      <c r="H3" s="31" t="s">
        <v>314</v>
      </c>
      <c r="I3" s="31" t="s">
        <v>315</v>
      </c>
      <c r="J3" s="31" t="s">
        <v>317</v>
      </c>
      <c r="K3" s="31" t="s">
        <v>7</v>
      </c>
      <c r="L3" s="31" t="s">
        <v>53</v>
      </c>
      <c r="M3" s="31" t="s">
        <v>34</v>
      </c>
    </row>
    <row r="4" spans="1:13" ht="15" customHeight="1">
      <c r="A4" t="s">
        <v>54</v>
      </c>
      <c r="B4" t="s">
        <v>55</v>
      </c>
      <c r="C4" s="60" t="s">
        <v>318</v>
      </c>
      <c r="D4" t="s">
        <v>56</v>
      </c>
      <c r="F4" s="171">
        <v>2023</v>
      </c>
      <c r="G4" t="s">
        <v>58</v>
      </c>
      <c r="H4">
        <v>22</v>
      </c>
      <c r="I4">
        <v>232</v>
      </c>
      <c r="J4">
        <f>COUNTIFS('RD Condos'!$K:$K,$A4,'RD Condos'!$A:$A,1)</f>
        <v>21</v>
      </c>
      <c r="K4" s="32">
        <f>IFERROR(AVERAGEIFS('RD Condos'!$B:$B,'RD Condos'!$K:$K,$A4,'RD Condos'!$A:$A,1),"")</f>
        <v>743.95238095238096</v>
      </c>
      <c r="L4" s="33">
        <f>IFERROR(AVERAGEIFS('RD Condos'!$AB:$AB,'RD Condos'!$K:$K,$A4,'RD Condos'!$A:$A,1),"")</f>
        <v>2391.5714285714284</v>
      </c>
      <c r="M4" s="34">
        <f>IFERROR(AVERAGEIFS('RD Condos'!$E:$E,'RD Condos'!$K:$K,$A4,'RD Condos'!$A:$A,1),"")</f>
        <v>3.2553998009608076</v>
      </c>
    </row>
    <row r="5" spans="1:13" ht="15" customHeight="1">
      <c r="A5" s="35" t="s">
        <v>59</v>
      </c>
      <c r="B5" s="36"/>
      <c r="C5" s="36"/>
      <c r="D5" s="36"/>
      <c r="E5" s="36"/>
      <c r="F5" s="36"/>
      <c r="G5" s="36"/>
      <c r="H5" s="36"/>
      <c r="I5" s="36"/>
      <c r="J5" s="36">
        <f>SUM(J4:J4)</f>
        <v>21</v>
      </c>
      <c r="K5" s="37">
        <f>IFERROR(AVERAGEIFS('RD Condos'!$B:$B,'RD Condos'!$A:$A,1),"")</f>
        <v>743.95238095238096</v>
      </c>
      <c r="L5" s="38">
        <f>IFERROR(AVERAGEIFS('RD Condos'!$AB:$AB,'RD Condos'!$A:$A,1),"")</f>
        <v>2391.5714285714284</v>
      </c>
      <c r="M5" s="39">
        <f>IFERROR(AVERAGEIFS('RD Condos'!$AN:$AN,'RD Condos'!$A:$A,1),"")</f>
        <v>3.2553998009608076</v>
      </c>
    </row>
    <row r="6" spans="1:13" ht="15" customHeight="1"/>
    <row r="7" spans="1:13" ht="15" customHeight="1"/>
    <row r="8" spans="1:13" ht="1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showGridLines="0" zoomScale="81" zoomScaleNormal="100" workbookViewId="0">
      <selection activeCell="C4" sqref="C4"/>
    </sheetView>
  </sheetViews>
  <sheetFormatPr defaultColWidth="8.7109375" defaultRowHeight="12.75"/>
  <cols>
    <col min="1" max="1" width="34" customWidth="1"/>
    <col min="2" max="2" width="20" customWidth="1"/>
    <col min="3" max="3" width="16" customWidth="1"/>
    <col min="4" max="4" width="30" customWidth="1"/>
    <col min="5" max="5" width="12" customWidth="1"/>
    <col min="6" max="6" width="16" customWidth="1"/>
    <col min="7" max="7" width="12" customWidth="1"/>
    <col min="8" max="8" width="8" customWidth="1"/>
  </cols>
  <sheetData>
    <row r="1" spans="1:8" ht="15" customHeight="1">
      <c r="B1" s="24" t="s">
        <v>60</v>
      </c>
      <c r="C1" s="40">
        <v>45778</v>
      </c>
      <c r="G1" s="24" t="s">
        <v>61</v>
      </c>
    </row>
    <row r="2" spans="1:8" ht="15" customHeight="1">
      <c r="B2" s="24" t="s">
        <v>62</v>
      </c>
      <c r="C2" s="41">
        <v>100</v>
      </c>
      <c r="G2" s="24" t="s">
        <v>63</v>
      </c>
      <c r="H2" s="42">
        <v>0.46</v>
      </c>
    </row>
    <row r="3" spans="1:8" ht="15" customHeight="1">
      <c r="B3" s="24" t="s">
        <v>64</v>
      </c>
      <c r="C3" s="41">
        <v>0</v>
      </c>
      <c r="D3" s="1" t="s">
        <v>65</v>
      </c>
      <c r="G3" s="24" t="s">
        <v>66</v>
      </c>
      <c r="H3" s="42">
        <v>0.45</v>
      </c>
    </row>
    <row r="4" spans="1:8" ht="15" customHeight="1">
      <c r="B4" s="24" t="s">
        <v>67</v>
      </c>
      <c r="C4" s="43">
        <v>0.13300000000000001</v>
      </c>
      <c r="D4" s="1" t="s">
        <v>68</v>
      </c>
      <c r="G4" s="24" t="s">
        <v>69</v>
      </c>
      <c r="H4" s="42">
        <v>0.09</v>
      </c>
    </row>
    <row r="5" spans="1:8" ht="15" customHeight="1">
      <c r="A5" s="24" t="s">
        <v>70</v>
      </c>
    </row>
    <row r="6" spans="1:8" ht="15" customHeight="1">
      <c r="A6" s="25" t="s">
        <v>47</v>
      </c>
      <c r="B6" s="25" t="s">
        <v>48</v>
      </c>
      <c r="C6" s="25" t="s">
        <v>71</v>
      </c>
      <c r="D6" s="25" t="s">
        <v>52</v>
      </c>
      <c r="E6" s="25" t="s">
        <v>7</v>
      </c>
      <c r="F6" s="25" t="s">
        <v>53</v>
      </c>
      <c r="G6" s="25" t="s">
        <v>34</v>
      </c>
    </row>
    <row r="7" spans="1:8" ht="15" customHeight="1">
      <c r="A7" t="s">
        <v>54</v>
      </c>
      <c r="B7" s="60" t="s">
        <v>55</v>
      </c>
      <c r="C7" t="s">
        <v>57</v>
      </c>
      <c r="D7">
        <f>COUNTIFS('RD Condos'!$K:$K,$A7,'RD Condos'!$A:$A,1)</f>
        <v>21</v>
      </c>
      <c r="E7" s="32">
        <f>IFERROR(AVERAGEIFS('RD Condos'!$B:$B,'RD Condos'!$K:$K,$A7,'RD Condos'!$A:$A,1),"")</f>
        <v>743.95238095238096</v>
      </c>
      <c r="F7" s="33">
        <f>IFERROR(AVERAGEIFS('RD Condos'!$AB:$AB,'RD Condos'!$K:$K,$A7,'RD Condos'!$A:$A,1),"")</f>
        <v>2391.5714285714284</v>
      </c>
      <c r="G7" s="44">
        <f>IFERROR(AVERAGEIFS('RD Condos'!$E:$E,'RD Condos'!$K:$K,$A7,'RD Condos'!$A:$A,1),"")</f>
        <v>3.2553998009608076</v>
      </c>
    </row>
    <row r="8" spans="1:8" ht="15" customHeight="1">
      <c r="A8" s="35" t="s">
        <v>59</v>
      </c>
      <c r="B8" s="36"/>
      <c r="C8" s="36"/>
      <c r="D8" s="36">
        <f>SUM(D7:D7)</f>
        <v>21</v>
      </c>
      <c r="E8" s="37">
        <f>IFERROR(AVERAGEIFS('RD Condos'!$B:$B,'RD Condos'!$A:$A,1),"")</f>
        <v>743.95238095238096</v>
      </c>
      <c r="F8" s="38">
        <f>IFERROR(AVERAGEIFS('RD Condos'!$AB:$AB,'RD Condos'!$A:$A,1),"")</f>
        <v>2391.5714285714284</v>
      </c>
      <c r="G8" s="39">
        <f>IFERROR(AVERAGEIFS('RD Condos'!$AN:$AN,'RD Condos'!$A:$A,1),"")</f>
        <v>3.2553998009608076</v>
      </c>
    </row>
    <row r="9" spans="1:8" ht="15" customHeight="1">
      <c r="A9" s="24" t="s">
        <v>72</v>
      </c>
    </row>
    <row r="10" spans="1:8" ht="15" customHeight="1">
      <c r="A10" s="45" t="s">
        <v>73</v>
      </c>
      <c r="B10" s="45" t="s">
        <v>52</v>
      </c>
      <c r="C10" s="45" t="s">
        <v>7</v>
      </c>
      <c r="D10" s="45" t="s">
        <v>53</v>
      </c>
      <c r="E10" s="45" t="s">
        <v>34</v>
      </c>
    </row>
    <row r="11" spans="1:8" ht="15" customHeight="1">
      <c r="A11" t="s">
        <v>74</v>
      </c>
      <c r="B11">
        <f>COUNTIFS('RD Condos'!$H:$H,"1",'RD Condos'!$A:$A,1)</f>
        <v>10</v>
      </c>
      <c r="C11" s="32">
        <f>IFERROR(AVERAGEIFS('RD Condos'!$B:$B,'RD Condos'!$H:$H,"1",'RD Condos'!$A:$A,1),"")</f>
        <v>635.1</v>
      </c>
      <c r="D11" s="33">
        <f>IFERROR(AVERAGEIFS('RD Condos'!$AB:$AB,'RD Condos'!$H:$H,"1",'RD Condos'!$A:$A,1),"")</f>
        <v>2119.8000000000002</v>
      </c>
      <c r="E11" s="44">
        <f>IFERROR(AVERAGEIFS('RD Condos'!$AN:$AN,'RD Condos'!$H:$H,"1",'RD Condos'!$A:$A,1),"")</f>
        <v>3.3662428388373273</v>
      </c>
    </row>
    <row r="12" spans="1:8" ht="15" customHeight="1">
      <c r="A12" t="s">
        <v>75</v>
      </c>
      <c r="B12">
        <f>COUNTIFS('RD Condos'!$H:$H,"2",'RD Condos'!$A:$A,1)</f>
        <v>7</v>
      </c>
      <c r="C12" s="32">
        <f>IFERROR(AVERAGEIFS('RD Condos'!$B:$B,'RD Condos'!$H:$H,"2",'RD Condos'!$A:$A,1),"")</f>
        <v>760</v>
      </c>
      <c r="D12" s="33">
        <f>IFERROR(AVERAGEIFS('RD Condos'!$AB:$AB,'RD Condos'!$H:$H,"2",'RD Condos'!$A:$A,1),"")</f>
        <v>2467.8571428571427</v>
      </c>
      <c r="E12" s="44">
        <f>IFERROR(AVERAGEIFS('RD Condos'!$AN:$AN,'RD Condos'!$H:$H,"2",'RD Condos'!$A:$A,1),"")</f>
        <v>3.2583221258852002</v>
      </c>
    </row>
    <row r="13" spans="1:8" ht="15" customHeight="1">
      <c r="A13" t="s">
        <v>76</v>
      </c>
      <c r="B13">
        <f>COUNTIFS('RD Condos'!$H:$H,"3",'RD Condos'!$A:$A,1)</f>
        <v>4</v>
      </c>
      <c r="C13" s="32">
        <f>IFERROR(AVERAGEIFS('RD Condos'!$B:$B,'RD Condos'!$H:$H,"3",'RD Condos'!$A:$A,1),"")</f>
        <v>988</v>
      </c>
      <c r="D13" s="33">
        <f>IFERROR(AVERAGEIFS('RD Condos'!$AB:$AB,'RD Condos'!$H:$H,"3",'RD Condos'!$A:$A,1),"")</f>
        <v>2937.5</v>
      </c>
      <c r="E13" s="44">
        <f>IFERROR(AVERAGEIFS('RD Condos'!$AN:$AN,'RD Condos'!$H:$H,"3",'RD Condos'!$A:$A,1),"")</f>
        <v>2.9731781376518218</v>
      </c>
    </row>
    <row r="14" spans="1:8" ht="15" customHeight="1"/>
    <row r="15" spans="1:8" ht="15" customHeight="1">
      <c r="A15" s="24" t="s">
        <v>77</v>
      </c>
    </row>
    <row r="16" spans="1:8" ht="15" customHeight="1">
      <c r="A16" s="31" t="s">
        <v>73</v>
      </c>
      <c r="B16" s="31" t="s">
        <v>52</v>
      </c>
      <c r="C16" s="31" t="s">
        <v>7</v>
      </c>
      <c r="D16" s="31" t="s">
        <v>53</v>
      </c>
      <c r="E16" s="31" t="s">
        <v>78</v>
      </c>
      <c r="F16" s="62" t="s">
        <v>79</v>
      </c>
    </row>
    <row r="17" spans="1:6" ht="15">
      <c r="A17" t="s">
        <v>74</v>
      </c>
      <c r="B17">
        <f>COUNTIFS('RD Condos'!$K:$K,"The Humber",'RD Condos'!$H:$H,"1",'RD Condos'!$A:$A,1)</f>
        <v>10</v>
      </c>
      <c r="C17" s="32">
        <f>IFERROR(AVERAGEIFS('RD Condos'!$B:$B,'RD Condos'!$K:$K,"The Humber",'RD Condos'!$H:$H,"1",'RD Condos'!$A:$A,1),"")</f>
        <v>635.1</v>
      </c>
      <c r="D17" s="33">
        <f>IFERROR(AVERAGEIFS('RD Condos'!$AB:$AB,'RD Condos'!$K:$K,"The Humber",'RD Condos'!$H:$H,"1",'RD Condos'!$A:$A,1),"")</f>
        <v>2119.8000000000002</v>
      </c>
      <c r="E17" s="44">
        <f>IFERROR(AVERAGEIFS('RD Condos'!$E:$E,'RD Condos'!$K:$K,"The Humber",'RD Condos'!$H:$H,"1",'RD Condos'!$A:$A,1),"")</f>
        <v>3.3662428388373273</v>
      </c>
      <c r="F17" s="46">
        <f>IFERROR(D17*(1+$C$4),"")</f>
        <v>2401.7334000000001</v>
      </c>
    </row>
    <row r="18" spans="1:6" ht="15" customHeight="1">
      <c r="A18" t="s">
        <v>75</v>
      </c>
      <c r="B18">
        <f>COUNTIFS('RD Condos'!$K:$K,"The Humber",'RD Condos'!$H:$H,"2",'RD Condos'!$A:$A,1)</f>
        <v>7</v>
      </c>
      <c r="C18" s="32">
        <f>IFERROR(AVERAGEIFS('RD Condos'!$B:$B,'RD Condos'!$K:$K,"The Humber",'RD Condos'!$H:$H,"2",'RD Condos'!$A:$A,1),"")</f>
        <v>760</v>
      </c>
      <c r="D18" s="33">
        <f>IFERROR(AVERAGEIFS('RD Condos'!$AB:$AB,'RD Condos'!$K:$K,"The Humber",'RD Condos'!$H:$H,"2",'RD Condos'!$A:$A,1),"")</f>
        <v>2467.8571428571427</v>
      </c>
      <c r="E18" s="44">
        <f>IFERROR(AVERAGEIFS('RD Condos'!$E:$E,'RD Condos'!$K:$K,"The Humber",'RD Condos'!$H:$H,"2",'RD Condos'!$A:$A,1),"")</f>
        <v>3.2583221258852002</v>
      </c>
      <c r="F18" s="46">
        <f>IFERROR(D18*(1+$C$4),"")</f>
        <v>2796.0821428571426</v>
      </c>
    </row>
    <row r="19" spans="1:6" ht="15" customHeight="1">
      <c r="A19" t="s">
        <v>76</v>
      </c>
      <c r="B19">
        <f>COUNTIFS('RD Condos'!$K:$K,"The Humber",'RD Condos'!$H:$H,"3",'RD Condos'!$A:$A,1)</f>
        <v>4</v>
      </c>
      <c r="C19" s="32">
        <f>IFERROR(AVERAGEIFS('RD Condos'!$B:$B,'RD Condos'!$K:$K,"The Humber",'RD Condos'!$H:$H,"3",'RD Condos'!$A:$A,1),"")</f>
        <v>988</v>
      </c>
      <c r="D19" s="33">
        <f>IFERROR(AVERAGEIFS('RD Condos'!$AB:$AB,'RD Condos'!$K:$K,"The Humber",'RD Condos'!$H:$H,"3",'RD Condos'!$A:$A,1),"")</f>
        <v>2937.5</v>
      </c>
      <c r="E19" s="44">
        <f>IFERROR(AVERAGEIFS('RD Condos'!$E:$E,'RD Condos'!$K:$K,"The Humber",'RD Condos'!$H:$H,"3",'RD Condos'!$A:$A,1),"")</f>
        <v>2.9731781376518218</v>
      </c>
      <c r="F19" s="46">
        <f>IFERROR(D19*(1+$C$4),"")</f>
        <v>3328.1875</v>
      </c>
    </row>
    <row r="20" spans="1:6" ht="15" customHeight="1"/>
    <row r="21" spans="1:6" ht="15" customHeight="1">
      <c r="A21" s="47" t="s">
        <v>80</v>
      </c>
    </row>
    <row r="22" spans="1:6" ht="15" customHeight="1">
      <c r="A22" t="s">
        <v>81</v>
      </c>
      <c r="C22" s="44">
        <f>E17*$H$2+E18*$H$3+E19*$H$4</f>
        <v>3.2823026949021745</v>
      </c>
    </row>
    <row r="23" spans="1:6" ht="15">
      <c r="A23" t="s">
        <v>82</v>
      </c>
      <c r="C23" s="44">
        <f>E11*$H$2+E12*$H$3+E13*$H$4</f>
        <v>3.2823026949021745</v>
      </c>
    </row>
    <row r="24" spans="1:6" ht="15" customHeight="1">
      <c r="A24" t="s">
        <v>83</v>
      </c>
      <c r="C24" s="48">
        <f>C4</f>
        <v>0.13300000000000001</v>
      </c>
    </row>
    <row r="25" spans="1:6" ht="15" customHeight="1">
      <c r="A25" s="24" t="s">
        <v>84</v>
      </c>
      <c r="C25" s="49">
        <f>C22*(1+C4)</f>
        <v>3.7188489533241635</v>
      </c>
    </row>
    <row r="26" spans="1:6" ht="15" customHeight="1">
      <c r="A26" t="s">
        <v>85</v>
      </c>
      <c r="C26" s="44">
        <f>C23*(1+C4)</f>
        <v>3.7188489533241635</v>
      </c>
    </row>
    <row r="27" spans="1:6" ht="15" customHeight="1">
      <c r="A27" t="s">
        <v>86</v>
      </c>
      <c r="C27" s="50">
        <v>3.9</v>
      </c>
    </row>
    <row r="28" spans="1:6" ht="15" customHeight="1">
      <c r="A28" t="s">
        <v>87</v>
      </c>
      <c r="C28" s="48">
        <f>C25/C27-1</f>
        <v>-4.6448986327137565E-2</v>
      </c>
    </row>
    <row r="29" spans="1:6" ht="15" customHeight="1"/>
    <row r="30" spans="1:6" ht="15" customHeight="1"/>
    <row r="31" spans="1:6" ht="1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40"/>
  <sheetViews>
    <sheetView showGridLines="0" zoomScaleNormal="100" workbookViewId="0">
      <pane ySplit="1" topLeftCell="A4" activePane="bottomLeft" state="frozen"/>
      <selection pane="bottomLeft" activeCell="D1" sqref="D1"/>
    </sheetView>
  </sheetViews>
  <sheetFormatPr defaultColWidth="8.7109375" defaultRowHeight="12.75"/>
  <cols>
    <col min="2" max="3" width="7" customWidth="1"/>
    <col min="5" max="5" width="8" customWidth="1"/>
    <col min="6" max="6" width="9" customWidth="1"/>
    <col min="10" max="10" width="11" customWidth="1"/>
    <col min="11" max="11" width="16" customWidth="1"/>
    <col min="12" max="12" width="17" customWidth="1"/>
    <col min="13" max="14" width="18" customWidth="1"/>
    <col min="15" max="15" width="8" customWidth="1"/>
    <col min="16" max="16" width="22" customWidth="1"/>
    <col min="17" max="18" width="6" customWidth="1"/>
    <col min="19" max="19" width="15.28515625" bestFit="1" customWidth="1"/>
    <col min="20" max="20" width="13" customWidth="1"/>
    <col min="21" max="21" width="11.85546875" bestFit="1" customWidth="1"/>
    <col min="25" max="25" width="8" customWidth="1"/>
    <col min="26" max="26" width="16" customWidth="1"/>
    <col min="27" max="27" width="13.7109375" bestFit="1" customWidth="1"/>
    <col min="28" max="29" width="10" customWidth="1"/>
    <col min="30" max="31" width="8" customWidth="1"/>
    <col min="37" max="37" width="28" customWidth="1"/>
    <col min="38" max="38" width="38" customWidth="1"/>
    <col min="39" max="40" width="12" customWidth="1"/>
  </cols>
  <sheetData>
    <row r="1" spans="1:40" ht="27.75" customHeight="1">
      <c r="A1" s="31" t="s">
        <v>88</v>
      </c>
      <c r="B1" s="31" t="s">
        <v>89</v>
      </c>
      <c r="C1" s="31" t="s">
        <v>90</v>
      </c>
      <c r="D1" s="31" t="s">
        <v>91</v>
      </c>
      <c r="E1" s="31" t="s">
        <v>92</v>
      </c>
      <c r="F1" s="31" t="s">
        <v>93</v>
      </c>
      <c r="G1" s="31" t="s">
        <v>94</v>
      </c>
      <c r="H1" s="31" t="s">
        <v>95</v>
      </c>
      <c r="I1" s="31" t="s">
        <v>96</v>
      </c>
      <c r="J1" s="31" t="s">
        <v>97</v>
      </c>
      <c r="K1" s="31" t="s">
        <v>98</v>
      </c>
      <c r="L1" s="31" t="s">
        <v>99</v>
      </c>
      <c r="M1" s="31" t="s">
        <v>100</v>
      </c>
      <c r="N1" s="31" t="s">
        <v>49</v>
      </c>
      <c r="O1" s="31" t="s">
        <v>101</v>
      </c>
      <c r="P1" s="31" t="s">
        <v>102</v>
      </c>
      <c r="Q1" s="31" t="s">
        <v>73</v>
      </c>
      <c r="R1" s="31" t="s">
        <v>103</v>
      </c>
      <c r="S1" s="31" t="s">
        <v>104</v>
      </c>
      <c r="T1" s="31" t="s">
        <v>105</v>
      </c>
      <c r="U1" s="31" t="s">
        <v>106</v>
      </c>
      <c r="V1" s="31" t="s">
        <v>107</v>
      </c>
      <c r="W1" s="31" t="s">
        <v>108</v>
      </c>
      <c r="X1" s="31" t="s">
        <v>109</v>
      </c>
      <c r="Y1" s="31" t="s">
        <v>110</v>
      </c>
      <c r="Z1" s="31" t="s">
        <v>111</v>
      </c>
      <c r="AA1" s="31" t="s">
        <v>112</v>
      </c>
      <c r="AB1" s="31" t="s">
        <v>113</v>
      </c>
      <c r="AC1" s="31" t="s">
        <v>114</v>
      </c>
      <c r="AD1" s="31" t="s">
        <v>115</v>
      </c>
      <c r="AE1" s="31" t="s">
        <v>116</v>
      </c>
      <c r="AF1" s="31" t="s">
        <v>117</v>
      </c>
      <c r="AG1" s="31" t="s">
        <v>118</v>
      </c>
      <c r="AH1" s="31" t="s">
        <v>119</v>
      </c>
      <c r="AI1" s="31" t="s">
        <v>120</v>
      </c>
      <c r="AJ1" s="31" t="s">
        <v>121</v>
      </c>
      <c r="AK1" s="31" t="s">
        <v>122</v>
      </c>
      <c r="AL1" s="31" t="s">
        <v>123</v>
      </c>
      <c r="AM1" s="31" t="s">
        <v>124</v>
      </c>
      <c r="AN1" s="64" t="s">
        <v>125</v>
      </c>
    </row>
    <row r="2" spans="1:40" ht="15" customHeight="1">
      <c r="A2">
        <f>IF(AND(ISNUMBER(B2),B2&gt;0,ISNUMBER(AB2),AB2&gt;0,J2&gt;=Data_Summary!$C$1),1,0)</f>
        <v>1</v>
      </c>
      <c r="B2" s="51">
        <v>694</v>
      </c>
      <c r="C2" s="26">
        <f t="shared" ref="C2:C31" si="0">IF(ISNUMBER(AB2),AB2,"")</f>
        <v>2450</v>
      </c>
      <c r="D2">
        <f>IF(ISNUMBER(C2),C2-U2*Data_Summary!$C$2,"")</f>
        <v>2350</v>
      </c>
      <c r="E2" s="52">
        <f t="shared" ref="E2:E31" si="1">IFERROR(C2/B2,"")</f>
        <v>3.5302593659942363</v>
      </c>
      <c r="F2" s="44">
        <f t="shared" ref="F2:F31" si="2">IFERROR(D2/B2,"")</f>
        <v>3.3861671469740635</v>
      </c>
      <c r="G2" t="str">
        <f t="shared" ref="G2:G31" si="3">Q2</f>
        <v>2</v>
      </c>
      <c r="H2" t="str">
        <f t="shared" ref="H2:H31" si="4">IFERROR(LEFT(G2,1),"")</f>
        <v>2</v>
      </c>
      <c r="I2">
        <f t="shared" ref="I2:I31" si="5">IF(LEN(G2)&gt;1,1,0)</f>
        <v>0</v>
      </c>
      <c r="J2" s="53">
        <v>46136</v>
      </c>
      <c r="K2" t="s">
        <v>54</v>
      </c>
      <c r="L2" t="s">
        <v>55</v>
      </c>
      <c r="M2" t="s">
        <v>126</v>
      </c>
      <c r="N2" t="s">
        <v>56</v>
      </c>
      <c r="O2" t="s">
        <v>127</v>
      </c>
      <c r="P2" t="s">
        <v>128</v>
      </c>
      <c r="Q2" t="s">
        <v>129</v>
      </c>
      <c r="R2">
        <v>2</v>
      </c>
      <c r="S2" s="32">
        <v>694</v>
      </c>
      <c r="T2" t="s">
        <v>130</v>
      </c>
      <c r="U2">
        <v>1</v>
      </c>
      <c r="V2" t="s">
        <v>131</v>
      </c>
      <c r="W2" t="s">
        <v>132</v>
      </c>
      <c r="X2" t="s">
        <v>133</v>
      </c>
      <c r="Y2" t="s">
        <v>134</v>
      </c>
      <c r="Z2" t="s">
        <v>57</v>
      </c>
      <c r="AA2" t="s">
        <v>135</v>
      </c>
      <c r="AB2" s="54">
        <v>2450</v>
      </c>
      <c r="AC2" s="54">
        <v>2450</v>
      </c>
      <c r="AD2" s="44">
        <f t="shared" ref="AD2:AD31" si="6">IFERROR(AB2/B2,"")</f>
        <v>3.5302593659942363</v>
      </c>
      <c r="AE2" s="44">
        <f t="shared" ref="AE2:AE31" si="7">IFERROR(AC2/B2,"")</f>
        <v>3.5302593659942363</v>
      </c>
      <c r="AF2" t="s">
        <v>136</v>
      </c>
      <c r="AG2" t="s">
        <v>136</v>
      </c>
      <c r="AH2" t="s">
        <v>136</v>
      </c>
      <c r="AI2" t="s">
        <v>137</v>
      </c>
      <c r="AJ2" t="s">
        <v>138</v>
      </c>
      <c r="AK2" t="s">
        <v>139</v>
      </c>
      <c r="AL2" t="s">
        <v>140</v>
      </c>
      <c r="AM2" t="s">
        <v>58</v>
      </c>
      <c r="AN2" s="63">
        <f>IFERROR(E2*(1+IF(AM2="Apartment",Data_Summary!$C$3,0)),"")</f>
        <v>3.5302593659942363</v>
      </c>
    </row>
    <row r="3" spans="1:40" ht="15" customHeight="1">
      <c r="A3">
        <f>IF(AND(ISNUMBER(B3),B3&gt;0,ISNUMBER(AB3),AB3&gt;0,J3&gt;=Data_Summary!$C$1),1,0)</f>
        <v>1</v>
      </c>
      <c r="B3" s="51">
        <v>694</v>
      </c>
      <c r="C3" s="26">
        <f t="shared" si="0"/>
        <v>2000</v>
      </c>
      <c r="D3">
        <f>IF(ISNUMBER(C3),C3-U3*Data_Summary!$C$2,"")</f>
        <v>2000</v>
      </c>
      <c r="E3" s="52">
        <f t="shared" si="1"/>
        <v>2.8818443804034581</v>
      </c>
      <c r="F3" s="44">
        <f t="shared" si="2"/>
        <v>2.8818443804034581</v>
      </c>
      <c r="G3" t="str">
        <f t="shared" si="3"/>
        <v>1+1</v>
      </c>
      <c r="H3" t="str">
        <f t="shared" si="4"/>
        <v>1</v>
      </c>
      <c r="I3">
        <f t="shared" si="5"/>
        <v>1</v>
      </c>
      <c r="J3" s="53">
        <v>46134</v>
      </c>
      <c r="K3" t="s">
        <v>54</v>
      </c>
      <c r="L3" t="s">
        <v>55</v>
      </c>
      <c r="M3" t="s">
        <v>126</v>
      </c>
      <c r="N3" t="s">
        <v>56</v>
      </c>
      <c r="O3" t="s">
        <v>141</v>
      </c>
      <c r="P3" t="s">
        <v>142</v>
      </c>
      <c r="Q3" t="s">
        <v>143</v>
      </c>
      <c r="R3">
        <v>1</v>
      </c>
      <c r="S3" s="32">
        <v>694</v>
      </c>
      <c r="T3" t="s">
        <v>130</v>
      </c>
      <c r="U3">
        <v>0</v>
      </c>
      <c r="V3" t="s">
        <v>136</v>
      </c>
      <c r="W3" t="s">
        <v>144</v>
      </c>
      <c r="X3" t="s">
        <v>133</v>
      </c>
      <c r="Y3" t="s">
        <v>145</v>
      </c>
      <c r="Z3" t="s">
        <v>57</v>
      </c>
      <c r="AA3" t="s">
        <v>135</v>
      </c>
      <c r="AB3" s="54">
        <v>2000</v>
      </c>
      <c r="AC3" s="54">
        <v>2050</v>
      </c>
      <c r="AD3" s="44">
        <f t="shared" si="6"/>
        <v>2.8818443804034581</v>
      </c>
      <c r="AE3" s="44">
        <f t="shared" si="7"/>
        <v>2.9538904899135447</v>
      </c>
      <c r="AF3" t="s">
        <v>136</v>
      </c>
      <c r="AG3" t="s">
        <v>136</v>
      </c>
      <c r="AH3" t="s">
        <v>136</v>
      </c>
      <c r="AI3" t="s">
        <v>146</v>
      </c>
      <c r="AJ3" t="s">
        <v>147</v>
      </c>
      <c r="AK3" t="s">
        <v>148</v>
      </c>
      <c r="AL3" t="s">
        <v>140</v>
      </c>
      <c r="AM3" t="s">
        <v>58</v>
      </c>
      <c r="AN3" s="63">
        <f>IFERROR(E3*(1+IF(AM3="Apartment",Data_Summary!$C$3,0)),"")</f>
        <v>2.8818443804034581</v>
      </c>
    </row>
    <row r="4" spans="1:40" ht="15" customHeight="1">
      <c r="A4">
        <f>IF(AND(ISNUMBER(B4),B4&gt;0,ISNUMBER(AB4),AB4&gt;0,J4&gt;=Data_Summary!$C$1),1,0)</f>
        <v>1</v>
      </c>
      <c r="B4" s="51">
        <v>715</v>
      </c>
      <c r="C4" s="26">
        <f t="shared" si="0"/>
        <v>2350</v>
      </c>
      <c r="D4">
        <f>IF(ISNUMBER(C4),C4-U4*Data_Summary!$C$2,"")</f>
        <v>2250</v>
      </c>
      <c r="E4" s="52">
        <f t="shared" si="1"/>
        <v>3.2867132867132867</v>
      </c>
      <c r="F4" s="44">
        <f t="shared" si="2"/>
        <v>3.1468531468531467</v>
      </c>
      <c r="G4" t="str">
        <f t="shared" si="3"/>
        <v>2</v>
      </c>
      <c r="H4" t="str">
        <f t="shared" si="4"/>
        <v>2</v>
      </c>
      <c r="I4">
        <f t="shared" si="5"/>
        <v>0</v>
      </c>
      <c r="J4" s="53">
        <v>46133</v>
      </c>
      <c r="K4" t="s">
        <v>54</v>
      </c>
      <c r="L4" t="s">
        <v>55</v>
      </c>
      <c r="M4" t="s">
        <v>126</v>
      </c>
      <c r="N4" t="s">
        <v>56</v>
      </c>
      <c r="O4" t="s">
        <v>149</v>
      </c>
      <c r="P4" t="s">
        <v>150</v>
      </c>
      <c r="Q4" t="s">
        <v>129</v>
      </c>
      <c r="R4">
        <v>2</v>
      </c>
      <c r="S4" s="32">
        <v>715</v>
      </c>
      <c r="T4" t="s">
        <v>151</v>
      </c>
      <c r="U4">
        <v>1</v>
      </c>
      <c r="V4" t="s">
        <v>131</v>
      </c>
      <c r="W4" t="s">
        <v>152</v>
      </c>
      <c r="X4" t="s">
        <v>133</v>
      </c>
      <c r="Y4" t="s">
        <v>153</v>
      </c>
      <c r="Z4" t="s">
        <v>57</v>
      </c>
      <c r="AA4" t="s">
        <v>135</v>
      </c>
      <c r="AB4" s="54">
        <v>2350</v>
      </c>
      <c r="AC4" s="54">
        <v>2400</v>
      </c>
      <c r="AD4" s="44">
        <f t="shared" si="6"/>
        <v>3.2867132867132867</v>
      </c>
      <c r="AE4" s="44">
        <f t="shared" si="7"/>
        <v>3.3566433566433567</v>
      </c>
      <c r="AF4" t="s">
        <v>136</v>
      </c>
      <c r="AG4" t="s">
        <v>136</v>
      </c>
      <c r="AH4" t="s">
        <v>136</v>
      </c>
      <c r="AI4" t="s">
        <v>154</v>
      </c>
      <c r="AJ4" t="s">
        <v>155</v>
      </c>
      <c r="AK4" t="s">
        <v>156</v>
      </c>
      <c r="AL4" t="s">
        <v>140</v>
      </c>
      <c r="AM4" t="s">
        <v>58</v>
      </c>
      <c r="AN4" s="63">
        <f>IFERROR(E4*(1+IF(AM4="Apartment",Data_Summary!$C$3,0)),"")</f>
        <v>3.2867132867132867</v>
      </c>
    </row>
    <row r="5" spans="1:40" ht="15" customHeight="1">
      <c r="A5">
        <f>IF(AND(ISNUMBER(B5),B5&gt;0,ISNUMBER(AB5),AB5&gt;0,J5&gt;=Data_Summary!$C$1),1,0)</f>
        <v>1</v>
      </c>
      <c r="B5" s="51">
        <v>617</v>
      </c>
      <c r="C5" s="26">
        <f t="shared" si="0"/>
        <v>1999</v>
      </c>
      <c r="D5">
        <f>IF(ISNUMBER(C5),C5-U5*Data_Summary!$C$2,"")</f>
        <v>1899</v>
      </c>
      <c r="E5" s="52">
        <f t="shared" si="1"/>
        <v>3.2398703403565641</v>
      </c>
      <c r="F5" s="44">
        <f t="shared" si="2"/>
        <v>3.0777957860615883</v>
      </c>
      <c r="G5" t="str">
        <f t="shared" si="3"/>
        <v>1</v>
      </c>
      <c r="H5" t="str">
        <f t="shared" si="4"/>
        <v>1</v>
      </c>
      <c r="I5">
        <f t="shared" si="5"/>
        <v>0</v>
      </c>
      <c r="J5" s="53">
        <v>46125</v>
      </c>
      <c r="K5" t="s">
        <v>54</v>
      </c>
      <c r="L5" t="s">
        <v>55</v>
      </c>
      <c r="M5" t="s">
        <v>126</v>
      </c>
      <c r="N5" t="s">
        <v>56</v>
      </c>
      <c r="O5" t="s">
        <v>157</v>
      </c>
      <c r="P5" t="s">
        <v>158</v>
      </c>
      <c r="Q5" t="s">
        <v>159</v>
      </c>
      <c r="R5">
        <v>1</v>
      </c>
      <c r="S5" s="32">
        <v>617</v>
      </c>
      <c r="T5" t="s">
        <v>130</v>
      </c>
      <c r="U5">
        <v>1</v>
      </c>
      <c r="V5" t="s">
        <v>131</v>
      </c>
      <c r="W5" t="s">
        <v>152</v>
      </c>
      <c r="X5" t="s">
        <v>133</v>
      </c>
      <c r="Y5" t="s">
        <v>160</v>
      </c>
      <c r="Z5" t="s">
        <v>57</v>
      </c>
      <c r="AA5" t="s">
        <v>135</v>
      </c>
      <c r="AB5" s="54">
        <v>1999</v>
      </c>
      <c r="AC5" s="54">
        <v>1999</v>
      </c>
      <c r="AD5" s="44">
        <f t="shared" si="6"/>
        <v>3.2398703403565641</v>
      </c>
      <c r="AE5" s="44">
        <f t="shared" si="7"/>
        <v>3.2398703403565641</v>
      </c>
      <c r="AF5" t="s">
        <v>136</v>
      </c>
      <c r="AG5" t="s">
        <v>136</v>
      </c>
      <c r="AH5" t="s">
        <v>136</v>
      </c>
      <c r="AI5" t="s">
        <v>161</v>
      </c>
      <c r="AJ5" t="s">
        <v>162</v>
      </c>
      <c r="AK5" t="s">
        <v>163</v>
      </c>
      <c r="AL5" t="s">
        <v>140</v>
      </c>
      <c r="AM5" t="s">
        <v>58</v>
      </c>
      <c r="AN5" s="63">
        <f>IFERROR(E5*(1+IF(AM5="Apartment",Data_Summary!$C$3,0)),"")</f>
        <v>3.2398703403565641</v>
      </c>
    </row>
    <row r="6" spans="1:40" ht="15" customHeight="1">
      <c r="A6">
        <f>IF(AND(ISNUMBER(B6),B6&gt;0,ISNUMBER(AB6),AB6&gt;0,J6&gt;=Data_Summary!$C$1),1,0)</f>
        <v>1</v>
      </c>
      <c r="B6" s="51">
        <v>751</v>
      </c>
      <c r="C6" s="26">
        <f t="shared" si="0"/>
        <v>2100</v>
      </c>
      <c r="D6">
        <f>IF(ISNUMBER(C6),C6-U6*Data_Summary!$C$2,"")</f>
        <v>2100</v>
      </c>
      <c r="E6" s="52">
        <f t="shared" si="1"/>
        <v>2.7962716378162451</v>
      </c>
      <c r="F6" s="44">
        <f t="shared" si="2"/>
        <v>2.7962716378162451</v>
      </c>
      <c r="G6" t="str">
        <f t="shared" si="3"/>
        <v>1+1</v>
      </c>
      <c r="H6" t="str">
        <f t="shared" si="4"/>
        <v>1</v>
      </c>
      <c r="I6">
        <f t="shared" si="5"/>
        <v>1</v>
      </c>
      <c r="J6" s="53">
        <v>46113</v>
      </c>
      <c r="K6" t="s">
        <v>54</v>
      </c>
      <c r="L6" t="s">
        <v>55</v>
      </c>
      <c r="M6" t="s">
        <v>126</v>
      </c>
      <c r="N6" t="s">
        <v>56</v>
      </c>
      <c r="O6" t="s">
        <v>164</v>
      </c>
      <c r="P6" t="s">
        <v>165</v>
      </c>
      <c r="Q6" t="s">
        <v>143</v>
      </c>
      <c r="R6">
        <v>2</v>
      </c>
      <c r="S6" s="32">
        <v>751</v>
      </c>
      <c r="T6" t="s">
        <v>151</v>
      </c>
      <c r="U6">
        <v>0</v>
      </c>
      <c r="V6" t="s">
        <v>136</v>
      </c>
      <c r="W6" t="s">
        <v>144</v>
      </c>
      <c r="X6" t="s">
        <v>133</v>
      </c>
      <c r="Y6" t="s">
        <v>153</v>
      </c>
      <c r="Z6" t="s">
        <v>57</v>
      </c>
      <c r="AA6" t="s">
        <v>135</v>
      </c>
      <c r="AB6" s="54">
        <v>2100</v>
      </c>
      <c r="AC6" s="54">
        <v>2100</v>
      </c>
      <c r="AD6" s="44">
        <f t="shared" si="6"/>
        <v>2.7962716378162451</v>
      </c>
      <c r="AE6" s="44">
        <f t="shared" si="7"/>
        <v>2.7962716378162451</v>
      </c>
      <c r="AF6" t="s">
        <v>136</v>
      </c>
      <c r="AG6" t="s">
        <v>136</v>
      </c>
      <c r="AH6" t="s">
        <v>136</v>
      </c>
      <c r="AI6" t="s">
        <v>166</v>
      </c>
      <c r="AJ6" t="s">
        <v>167</v>
      </c>
      <c r="AK6" t="s">
        <v>168</v>
      </c>
      <c r="AL6" t="s">
        <v>140</v>
      </c>
      <c r="AM6" t="s">
        <v>58</v>
      </c>
      <c r="AN6" s="63">
        <f>IFERROR(E6*(1+IF(AM6="Apartment",Data_Summary!$C$3,0)),"")</f>
        <v>2.7962716378162451</v>
      </c>
    </row>
    <row r="7" spans="1:40" ht="15" customHeight="1">
      <c r="A7">
        <f>IF(AND(ISNUMBER(B7),B7&gt;0,ISNUMBER(AB7),AB7&gt;0,J7&gt;=Data_Summary!$C$1),1,0)</f>
        <v>1</v>
      </c>
      <c r="B7" s="51">
        <v>816</v>
      </c>
      <c r="C7" s="26">
        <f t="shared" si="0"/>
        <v>2575</v>
      </c>
      <c r="D7">
        <f>IF(ISNUMBER(C7),C7-U7*Data_Summary!$C$2,"")</f>
        <v>2475</v>
      </c>
      <c r="E7" s="52">
        <f t="shared" si="1"/>
        <v>3.1556372549019609</v>
      </c>
      <c r="F7" s="44">
        <f t="shared" si="2"/>
        <v>3.0330882352941178</v>
      </c>
      <c r="G7" t="str">
        <f t="shared" si="3"/>
        <v>2</v>
      </c>
      <c r="H7" t="str">
        <f t="shared" si="4"/>
        <v>2</v>
      </c>
      <c r="I7">
        <f t="shared" si="5"/>
        <v>0</v>
      </c>
      <c r="J7" s="53">
        <v>46109</v>
      </c>
      <c r="K7" t="s">
        <v>54</v>
      </c>
      <c r="L7" t="s">
        <v>55</v>
      </c>
      <c r="M7" t="s">
        <v>126</v>
      </c>
      <c r="N7" t="s">
        <v>56</v>
      </c>
      <c r="O7" t="s">
        <v>169</v>
      </c>
      <c r="P7" t="s">
        <v>170</v>
      </c>
      <c r="Q7" t="s">
        <v>129</v>
      </c>
      <c r="R7">
        <v>2</v>
      </c>
      <c r="S7" s="32">
        <v>816</v>
      </c>
      <c r="T7" t="s">
        <v>171</v>
      </c>
      <c r="U7">
        <v>1</v>
      </c>
      <c r="V7" t="s">
        <v>131</v>
      </c>
      <c r="W7" t="s">
        <v>144</v>
      </c>
      <c r="X7" t="s">
        <v>133</v>
      </c>
      <c r="Y7" t="s">
        <v>160</v>
      </c>
      <c r="Z7" t="s">
        <v>57</v>
      </c>
      <c r="AA7" t="s">
        <v>135</v>
      </c>
      <c r="AB7" s="54">
        <v>2575</v>
      </c>
      <c r="AC7" s="54">
        <v>2600</v>
      </c>
      <c r="AD7" s="44">
        <f t="shared" si="6"/>
        <v>3.1556372549019609</v>
      </c>
      <c r="AE7" s="44">
        <f t="shared" si="7"/>
        <v>3.1862745098039214</v>
      </c>
      <c r="AF7" t="s">
        <v>136</v>
      </c>
      <c r="AG7" t="s">
        <v>136</v>
      </c>
      <c r="AH7" t="s">
        <v>136</v>
      </c>
      <c r="AI7" t="s">
        <v>172</v>
      </c>
      <c r="AJ7" t="s">
        <v>173</v>
      </c>
      <c r="AK7" t="s">
        <v>174</v>
      </c>
      <c r="AL7" t="s">
        <v>140</v>
      </c>
      <c r="AM7" t="s">
        <v>58</v>
      </c>
      <c r="AN7" s="63">
        <f>IFERROR(E7*(1+IF(AM7="Apartment",Data_Summary!$C$3,0)),"")</f>
        <v>3.1556372549019609</v>
      </c>
    </row>
    <row r="8" spans="1:40" ht="15" customHeight="1">
      <c r="A8">
        <f>IF(AND(ISNUMBER(B8),B8&gt;0,ISNUMBER(AB8),AB8&gt;0,J8&gt;=Data_Summary!$C$1),1,0)</f>
        <v>1</v>
      </c>
      <c r="B8" s="51">
        <v>583</v>
      </c>
      <c r="C8" s="26">
        <f t="shared" si="0"/>
        <v>2200</v>
      </c>
      <c r="D8">
        <f>IF(ISNUMBER(C8),C8-U8*Data_Summary!$C$2,"")</f>
        <v>2100</v>
      </c>
      <c r="E8" s="52">
        <f t="shared" si="1"/>
        <v>3.7735849056603774</v>
      </c>
      <c r="F8" s="44">
        <f t="shared" si="2"/>
        <v>3.6020583190394513</v>
      </c>
      <c r="G8" t="str">
        <f t="shared" si="3"/>
        <v>1+1</v>
      </c>
      <c r="H8" t="str">
        <f t="shared" si="4"/>
        <v>1</v>
      </c>
      <c r="I8">
        <f t="shared" si="5"/>
        <v>1</v>
      </c>
      <c r="J8" s="53">
        <v>46105</v>
      </c>
      <c r="K8" t="s">
        <v>54</v>
      </c>
      <c r="L8" t="s">
        <v>55</v>
      </c>
      <c r="M8" t="s">
        <v>126</v>
      </c>
      <c r="N8" t="s">
        <v>56</v>
      </c>
      <c r="O8" t="s">
        <v>175</v>
      </c>
      <c r="P8" t="s">
        <v>176</v>
      </c>
      <c r="Q8" t="s">
        <v>143</v>
      </c>
      <c r="R8">
        <v>1</v>
      </c>
      <c r="S8" s="32">
        <v>583</v>
      </c>
      <c r="T8" t="s">
        <v>177</v>
      </c>
      <c r="U8">
        <v>1</v>
      </c>
      <c r="V8" t="s">
        <v>131</v>
      </c>
      <c r="W8" t="s">
        <v>152</v>
      </c>
      <c r="X8" t="s">
        <v>133</v>
      </c>
      <c r="Y8" t="s">
        <v>145</v>
      </c>
      <c r="Z8" t="s">
        <v>57</v>
      </c>
      <c r="AA8" t="s">
        <v>135</v>
      </c>
      <c r="AB8" s="54">
        <v>2200</v>
      </c>
      <c r="AC8" s="54">
        <v>2200</v>
      </c>
      <c r="AD8" s="44">
        <f t="shared" si="6"/>
        <v>3.7735849056603774</v>
      </c>
      <c r="AE8" s="44">
        <f t="shared" si="7"/>
        <v>3.7735849056603774</v>
      </c>
      <c r="AF8" t="s">
        <v>136</v>
      </c>
      <c r="AG8" t="s">
        <v>136</v>
      </c>
      <c r="AH8" t="s">
        <v>136</v>
      </c>
      <c r="AI8" t="s">
        <v>178</v>
      </c>
      <c r="AJ8" t="s">
        <v>179</v>
      </c>
      <c r="AK8" t="s">
        <v>180</v>
      </c>
      <c r="AL8" t="s">
        <v>140</v>
      </c>
      <c r="AM8" t="s">
        <v>58</v>
      </c>
      <c r="AN8" s="63">
        <f>IFERROR(E8*(1+IF(AM8="Apartment",Data_Summary!$C$3,0)),"")</f>
        <v>3.7735849056603774</v>
      </c>
    </row>
    <row r="9" spans="1:40" ht="15" customHeight="1">
      <c r="A9">
        <f>IF(AND(ISNUMBER(B9),B9&gt;0,ISNUMBER(AB9),AB9&gt;0,J9&gt;=Data_Summary!$C$1),1,0)</f>
        <v>1</v>
      </c>
      <c r="B9" s="51">
        <v>988</v>
      </c>
      <c r="C9" s="26">
        <f t="shared" si="0"/>
        <v>2550</v>
      </c>
      <c r="D9">
        <f>IF(ISNUMBER(C9),C9-U9*Data_Summary!$C$2,"")</f>
        <v>2550</v>
      </c>
      <c r="E9" s="52">
        <f t="shared" si="1"/>
        <v>2.5809716599190282</v>
      </c>
      <c r="F9" s="44">
        <f t="shared" si="2"/>
        <v>2.5809716599190282</v>
      </c>
      <c r="G9" t="str">
        <f t="shared" si="3"/>
        <v>3</v>
      </c>
      <c r="H9" t="str">
        <f t="shared" si="4"/>
        <v>3</v>
      </c>
      <c r="I9">
        <f t="shared" si="5"/>
        <v>0</v>
      </c>
      <c r="J9" s="53">
        <v>46084</v>
      </c>
      <c r="K9" t="s">
        <v>54</v>
      </c>
      <c r="L9" t="s">
        <v>55</v>
      </c>
      <c r="M9" t="s">
        <v>126</v>
      </c>
      <c r="N9" t="s">
        <v>56</v>
      </c>
      <c r="O9" t="s">
        <v>181</v>
      </c>
      <c r="P9" t="s">
        <v>182</v>
      </c>
      <c r="Q9" t="s">
        <v>183</v>
      </c>
      <c r="R9">
        <v>2</v>
      </c>
      <c r="S9" s="32">
        <v>988</v>
      </c>
      <c r="T9" t="s">
        <v>184</v>
      </c>
      <c r="U9">
        <v>0</v>
      </c>
      <c r="V9" t="s">
        <v>136</v>
      </c>
      <c r="W9" t="s">
        <v>152</v>
      </c>
      <c r="X9" t="s">
        <v>133</v>
      </c>
      <c r="Y9" t="s">
        <v>185</v>
      </c>
      <c r="Z9" t="s">
        <v>57</v>
      </c>
      <c r="AA9" t="s">
        <v>135</v>
      </c>
      <c r="AB9" s="54">
        <v>2550</v>
      </c>
      <c r="AC9" s="54">
        <v>2700</v>
      </c>
      <c r="AD9" s="44">
        <f t="shared" si="6"/>
        <v>2.5809716599190282</v>
      </c>
      <c r="AE9" s="44">
        <f t="shared" si="7"/>
        <v>2.7327935222672064</v>
      </c>
      <c r="AF9" t="s">
        <v>136</v>
      </c>
      <c r="AG9" t="s">
        <v>136</v>
      </c>
      <c r="AH9" t="s">
        <v>136</v>
      </c>
      <c r="AI9" t="s">
        <v>186</v>
      </c>
      <c r="AJ9" t="s">
        <v>187</v>
      </c>
      <c r="AK9" t="s">
        <v>188</v>
      </c>
      <c r="AL9" t="s">
        <v>140</v>
      </c>
      <c r="AM9" t="s">
        <v>58</v>
      </c>
      <c r="AN9" s="63">
        <f>IFERROR(E9*(1+IF(AM9="Apartment",Data_Summary!$C$3,0)),"")</f>
        <v>2.5809716599190282</v>
      </c>
    </row>
    <row r="10" spans="1:40" ht="15" customHeight="1">
      <c r="A10">
        <f>IF(AND(ISNUMBER(B10),B10&gt;0,ISNUMBER(AB10),AB10&gt;0,J10&gt;=Data_Summary!$C$1),1,0)</f>
        <v>1</v>
      </c>
      <c r="B10" s="51">
        <v>694</v>
      </c>
      <c r="C10" s="26">
        <f t="shared" si="0"/>
        <v>2199</v>
      </c>
      <c r="D10">
        <f>IF(ISNUMBER(C10),C10-U10*Data_Summary!$C$2,"")</f>
        <v>2099</v>
      </c>
      <c r="E10" s="52">
        <f t="shared" si="1"/>
        <v>3.1685878962536025</v>
      </c>
      <c r="F10" s="44">
        <f t="shared" si="2"/>
        <v>3.0244956772334293</v>
      </c>
      <c r="G10" t="str">
        <f t="shared" si="3"/>
        <v>1+1</v>
      </c>
      <c r="H10" t="str">
        <f t="shared" si="4"/>
        <v>1</v>
      </c>
      <c r="I10">
        <f t="shared" si="5"/>
        <v>1</v>
      </c>
      <c r="J10" s="53">
        <v>46044</v>
      </c>
      <c r="K10" t="s">
        <v>54</v>
      </c>
      <c r="L10" t="s">
        <v>55</v>
      </c>
      <c r="M10" t="s">
        <v>126</v>
      </c>
      <c r="N10" t="s">
        <v>56</v>
      </c>
      <c r="O10" t="s">
        <v>189</v>
      </c>
      <c r="P10" t="s">
        <v>190</v>
      </c>
      <c r="Q10" t="s">
        <v>143</v>
      </c>
      <c r="R10">
        <v>1</v>
      </c>
      <c r="S10" s="32">
        <v>694</v>
      </c>
      <c r="T10" t="s">
        <v>130</v>
      </c>
      <c r="U10">
        <v>1</v>
      </c>
      <c r="V10" t="s">
        <v>131</v>
      </c>
      <c r="W10" t="s">
        <v>152</v>
      </c>
      <c r="X10" t="s">
        <v>133</v>
      </c>
      <c r="Y10" t="s">
        <v>145</v>
      </c>
      <c r="Z10" t="s">
        <v>57</v>
      </c>
      <c r="AA10" t="s">
        <v>135</v>
      </c>
      <c r="AB10" s="54">
        <v>2199</v>
      </c>
      <c r="AC10" s="54">
        <v>2199</v>
      </c>
      <c r="AD10" s="44">
        <f t="shared" si="6"/>
        <v>3.1685878962536025</v>
      </c>
      <c r="AE10" s="44">
        <f t="shared" si="7"/>
        <v>3.1685878962536025</v>
      </c>
      <c r="AF10" t="s">
        <v>136</v>
      </c>
      <c r="AG10" t="s">
        <v>136</v>
      </c>
      <c r="AH10" t="s">
        <v>136</v>
      </c>
      <c r="AI10" t="s">
        <v>191</v>
      </c>
      <c r="AJ10" t="s">
        <v>192</v>
      </c>
      <c r="AK10" t="s">
        <v>193</v>
      </c>
      <c r="AL10" t="s">
        <v>140</v>
      </c>
      <c r="AM10" t="s">
        <v>58</v>
      </c>
      <c r="AN10" s="63">
        <f>IFERROR(E10*(1+IF(AM10="Apartment",Data_Summary!$C$3,0)),"")</f>
        <v>3.1685878962536025</v>
      </c>
    </row>
    <row r="11" spans="1:40" ht="15" customHeight="1">
      <c r="A11">
        <f>IF(AND(ISNUMBER(B11),B11&gt;0,ISNUMBER(AB11),AB11&gt;0,J11&gt;=Data_Summary!$C$1),1,0)</f>
        <v>1</v>
      </c>
      <c r="B11" s="51">
        <v>588</v>
      </c>
      <c r="C11" s="26">
        <f t="shared" si="0"/>
        <v>2100</v>
      </c>
      <c r="D11">
        <f>IF(ISNUMBER(C11),C11-U11*Data_Summary!$C$2,"")</f>
        <v>2100</v>
      </c>
      <c r="E11" s="52">
        <f t="shared" si="1"/>
        <v>3.5714285714285716</v>
      </c>
      <c r="F11" s="44">
        <f t="shared" si="2"/>
        <v>3.5714285714285716</v>
      </c>
      <c r="G11" t="str">
        <f t="shared" si="3"/>
        <v>1+1</v>
      </c>
      <c r="H11" t="str">
        <f t="shared" si="4"/>
        <v>1</v>
      </c>
      <c r="I11">
        <f t="shared" si="5"/>
        <v>1</v>
      </c>
      <c r="J11" s="53">
        <v>46043</v>
      </c>
      <c r="K11" t="s">
        <v>54</v>
      </c>
      <c r="L11" t="s">
        <v>55</v>
      </c>
      <c r="M11" t="s">
        <v>126</v>
      </c>
      <c r="N11" t="s">
        <v>56</v>
      </c>
      <c r="O11" t="s">
        <v>194</v>
      </c>
      <c r="P11" t="s">
        <v>195</v>
      </c>
      <c r="Q11" t="s">
        <v>143</v>
      </c>
      <c r="R11">
        <v>1</v>
      </c>
      <c r="S11" s="32">
        <v>588</v>
      </c>
      <c r="T11" t="s">
        <v>177</v>
      </c>
      <c r="U11">
        <v>0</v>
      </c>
      <c r="V11" t="s">
        <v>136</v>
      </c>
      <c r="W11" t="s">
        <v>152</v>
      </c>
      <c r="X11" t="s">
        <v>133</v>
      </c>
      <c r="Y11" t="s">
        <v>134</v>
      </c>
      <c r="Z11" t="s">
        <v>57</v>
      </c>
      <c r="AA11" t="s">
        <v>135</v>
      </c>
      <c r="AB11" s="54">
        <v>2100</v>
      </c>
      <c r="AC11" s="54">
        <v>2100</v>
      </c>
      <c r="AD11" s="44">
        <f t="shared" si="6"/>
        <v>3.5714285714285716</v>
      </c>
      <c r="AE11" s="44">
        <f t="shared" si="7"/>
        <v>3.5714285714285716</v>
      </c>
      <c r="AF11" t="s">
        <v>131</v>
      </c>
      <c r="AG11" t="s">
        <v>136</v>
      </c>
      <c r="AH11" t="s">
        <v>136</v>
      </c>
      <c r="AI11" t="s">
        <v>196</v>
      </c>
      <c r="AJ11" t="s">
        <v>197</v>
      </c>
      <c r="AK11" t="s">
        <v>198</v>
      </c>
      <c r="AL11" t="s">
        <v>140</v>
      </c>
      <c r="AM11" t="s">
        <v>58</v>
      </c>
      <c r="AN11" s="63">
        <f>IFERROR(E11*(1+IF(AM11="Apartment",Data_Summary!$C$3,0)),"")</f>
        <v>3.5714285714285716</v>
      </c>
    </row>
    <row r="12" spans="1:40" ht="15" customHeight="1">
      <c r="A12">
        <f>IF(AND(ISNUMBER(B12),B12&gt;0,ISNUMBER(AB12),AB12&gt;0,J12&gt;=Data_Summary!$C$1),1,0)</f>
        <v>1</v>
      </c>
      <c r="B12" s="51">
        <v>694</v>
      </c>
      <c r="C12" s="26">
        <f t="shared" si="0"/>
        <v>2400</v>
      </c>
      <c r="D12">
        <f>IF(ISNUMBER(C12),C12-U12*Data_Summary!$C$2,"")</f>
        <v>2300</v>
      </c>
      <c r="E12" s="52">
        <f t="shared" si="1"/>
        <v>3.4582132564841497</v>
      </c>
      <c r="F12" s="44">
        <f t="shared" si="2"/>
        <v>3.3141210374639769</v>
      </c>
      <c r="G12" t="str">
        <f t="shared" si="3"/>
        <v>2</v>
      </c>
      <c r="H12" t="str">
        <f t="shared" si="4"/>
        <v>2</v>
      </c>
      <c r="I12">
        <f t="shared" si="5"/>
        <v>0</v>
      </c>
      <c r="J12" s="53">
        <v>46009</v>
      </c>
      <c r="K12" t="s">
        <v>54</v>
      </c>
      <c r="L12" t="s">
        <v>55</v>
      </c>
      <c r="M12" t="s">
        <v>126</v>
      </c>
      <c r="N12" t="s">
        <v>56</v>
      </c>
      <c r="O12" t="s">
        <v>199</v>
      </c>
      <c r="P12" t="s">
        <v>200</v>
      </c>
      <c r="Q12" t="s">
        <v>129</v>
      </c>
      <c r="R12">
        <v>2</v>
      </c>
      <c r="S12" s="32">
        <v>694</v>
      </c>
      <c r="T12" t="s">
        <v>130</v>
      </c>
      <c r="U12">
        <v>1</v>
      </c>
      <c r="V12" t="s">
        <v>131</v>
      </c>
      <c r="W12" t="s">
        <v>152</v>
      </c>
      <c r="X12" t="s">
        <v>133</v>
      </c>
      <c r="Y12" t="s">
        <v>145</v>
      </c>
      <c r="Z12" t="s">
        <v>57</v>
      </c>
      <c r="AA12" t="s">
        <v>135</v>
      </c>
      <c r="AB12" s="54">
        <v>2400</v>
      </c>
      <c r="AC12" s="54">
        <v>2400</v>
      </c>
      <c r="AD12" s="44">
        <f t="shared" si="6"/>
        <v>3.4582132564841497</v>
      </c>
      <c r="AE12" s="44">
        <f t="shared" si="7"/>
        <v>3.4582132564841497</v>
      </c>
      <c r="AF12" t="s">
        <v>136</v>
      </c>
      <c r="AG12" t="s">
        <v>136</v>
      </c>
      <c r="AH12" t="s">
        <v>136</v>
      </c>
      <c r="AI12" t="s">
        <v>201</v>
      </c>
      <c r="AJ12" t="s">
        <v>202</v>
      </c>
      <c r="AK12" t="s">
        <v>203</v>
      </c>
      <c r="AL12" t="s">
        <v>140</v>
      </c>
      <c r="AM12" t="s">
        <v>58</v>
      </c>
      <c r="AN12" s="63">
        <f>IFERROR(E12*(1+IF(AM12="Apartment",Data_Summary!$C$3,0)),"")</f>
        <v>3.4582132564841497</v>
      </c>
    </row>
    <row r="13" spans="1:40" ht="15" customHeight="1">
      <c r="A13">
        <f>IF(AND(ISNUMBER(B13),B13&gt;0,ISNUMBER(AB13),AB13&gt;0,J13&gt;=Data_Summary!$C$1),1,0)</f>
        <v>1</v>
      </c>
      <c r="B13" s="55">
        <v>788</v>
      </c>
      <c r="C13" s="26">
        <f t="shared" si="0"/>
        <v>2600</v>
      </c>
      <c r="D13">
        <f>IF(ISNUMBER(C13),C13-U13*Data_Summary!$C$2,"")</f>
        <v>2500</v>
      </c>
      <c r="E13" s="56">
        <f t="shared" si="1"/>
        <v>3.2994923857868019</v>
      </c>
      <c r="F13" s="44">
        <f t="shared" si="2"/>
        <v>3.1725888324873095</v>
      </c>
      <c r="G13" t="str">
        <f t="shared" si="3"/>
        <v>2</v>
      </c>
      <c r="H13" t="str">
        <f t="shared" si="4"/>
        <v>2</v>
      </c>
      <c r="I13">
        <f t="shared" si="5"/>
        <v>0</v>
      </c>
      <c r="J13" s="53">
        <v>45959</v>
      </c>
      <c r="K13" t="s">
        <v>54</v>
      </c>
      <c r="L13" t="s">
        <v>55</v>
      </c>
      <c r="M13" t="s">
        <v>126</v>
      </c>
      <c r="N13" t="s">
        <v>56</v>
      </c>
      <c r="O13" t="s">
        <v>204</v>
      </c>
      <c r="P13" t="s">
        <v>205</v>
      </c>
      <c r="Q13" t="s">
        <v>129</v>
      </c>
      <c r="R13">
        <v>2</v>
      </c>
      <c r="S13" s="32">
        <v>788</v>
      </c>
      <c r="T13" t="s">
        <v>151</v>
      </c>
      <c r="U13">
        <v>1</v>
      </c>
      <c r="V13" t="s">
        <v>131</v>
      </c>
      <c r="W13" t="s">
        <v>152</v>
      </c>
      <c r="X13" t="s">
        <v>133</v>
      </c>
      <c r="Y13" t="s">
        <v>153</v>
      </c>
      <c r="Z13" t="s">
        <v>57</v>
      </c>
      <c r="AA13" t="s">
        <v>135</v>
      </c>
      <c r="AB13" s="54">
        <v>2600</v>
      </c>
      <c r="AC13" s="54">
        <v>2600</v>
      </c>
      <c r="AD13" s="44">
        <f t="shared" si="6"/>
        <v>3.2994923857868019</v>
      </c>
      <c r="AE13" s="44">
        <f t="shared" si="7"/>
        <v>3.2994923857868019</v>
      </c>
      <c r="AF13" t="s">
        <v>136</v>
      </c>
      <c r="AG13" t="s">
        <v>136</v>
      </c>
      <c r="AH13" t="s">
        <v>136</v>
      </c>
      <c r="AI13" t="s">
        <v>206</v>
      </c>
      <c r="AJ13" t="s">
        <v>207</v>
      </c>
      <c r="AK13" t="s">
        <v>208</v>
      </c>
      <c r="AL13" t="s">
        <v>140</v>
      </c>
      <c r="AM13" t="s">
        <v>58</v>
      </c>
      <c r="AN13" s="63">
        <f>IFERROR(E13*(1+IF(AM13="Apartment",Data_Summary!$C$3,0)),"")</f>
        <v>3.2994923857868019</v>
      </c>
    </row>
    <row r="14" spans="1:40" ht="15" customHeight="1">
      <c r="A14">
        <f>IF(AND(ISNUMBER(B14),B14&gt;0,ISNUMBER(AB14),AB14&gt;0,J14&gt;=Data_Summary!$C$1),1,0)</f>
        <v>1</v>
      </c>
      <c r="B14" s="51">
        <v>988</v>
      </c>
      <c r="C14" s="26">
        <f t="shared" si="0"/>
        <v>3000</v>
      </c>
      <c r="D14">
        <f>IF(ISNUMBER(C14),C14-U14*Data_Summary!$C$2,"")</f>
        <v>2900</v>
      </c>
      <c r="E14" s="52">
        <f t="shared" si="1"/>
        <v>3.0364372469635628</v>
      </c>
      <c r="F14" s="44">
        <f t="shared" si="2"/>
        <v>2.9352226720647772</v>
      </c>
      <c r="G14" t="str">
        <f t="shared" si="3"/>
        <v>3</v>
      </c>
      <c r="H14" t="str">
        <f t="shared" si="4"/>
        <v>3</v>
      </c>
      <c r="I14">
        <f t="shared" si="5"/>
        <v>0</v>
      </c>
      <c r="J14" s="53">
        <v>45933</v>
      </c>
      <c r="K14" t="s">
        <v>54</v>
      </c>
      <c r="L14" t="s">
        <v>55</v>
      </c>
      <c r="M14" t="s">
        <v>126</v>
      </c>
      <c r="N14" t="s">
        <v>56</v>
      </c>
      <c r="O14" t="s">
        <v>209</v>
      </c>
      <c r="P14" t="s">
        <v>210</v>
      </c>
      <c r="Q14" t="s">
        <v>183</v>
      </c>
      <c r="R14">
        <v>2</v>
      </c>
      <c r="S14" s="32">
        <v>988</v>
      </c>
      <c r="T14" t="s">
        <v>184</v>
      </c>
      <c r="U14">
        <v>1</v>
      </c>
      <c r="V14" t="s">
        <v>131</v>
      </c>
      <c r="W14" t="s">
        <v>152</v>
      </c>
      <c r="X14" t="s">
        <v>133</v>
      </c>
      <c r="Y14" t="s">
        <v>185</v>
      </c>
      <c r="Z14" t="s">
        <v>57</v>
      </c>
      <c r="AA14" t="s">
        <v>135</v>
      </c>
      <c r="AB14" s="54">
        <v>3000</v>
      </c>
      <c r="AC14" s="54">
        <v>3000</v>
      </c>
      <c r="AD14" s="44">
        <f t="shared" si="6"/>
        <v>3.0364372469635628</v>
      </c>
      <c r="AE14" s="44">
        <f t="shared" si="7"/>
        <v>3.0364372469635628</v>
      </c>
      <c r="AF14" t="s">
        <v>136</v>
      </c>
      <c r="AG14" t="s">
        <v>136</v>
      </c>
      <c r="AH14" t="s">
        <v>136</v>
      </c>
      <c r="AI14" t="s">
        <v>211</v>
      </c>
      <c r="AJ14" t="s">
        <v>212</v>
      </c>
      <c r="AK14" t="s">
        <v>213</v>
      </c>
      <c r="AL14" t="s">
        <v>140</v>
      </c>
      <c r="AM14" t="s">
        <v>58</v>
      </c>
      <c r="AN14" s="63">
        <f>IFERROR(E14*(1+IF(AM14="Apartment",Data_Summary!$C$3,0)),"")</f>
        <v>3.0364372469635628</v>
      </c>
    </row>
    <row r="15" spans="1:40" ht="15" customHeight="1">
      <c r="A15">
        <f>IF(AND(ISNUMBER(B15),B15&gt;0,ISNUMBER(AB15),AB15&gt;0,J15&gt;=Data_Summary!$C$1),1,0)</f>
        <v>1</v>
      </c>
      <c r="B15" s="51">
        <v>556</v>
      </c>
      <c r="C15" s="26">
        <f t="shared" si="0"/>
        <v>2200</v>
      </c>
      <c r="D15">
        <f>IF(ISNUMBER(C15),C15-U15*Data_Summary!$C$2,"")</f>
        <v>2100</v>
      </c>
      <c r="E15" s="52">
        <f t="shared" si="1"/>
        <v>3.9568345323741005</v>
      </c>
      <c r="F15" s="44">
        <f t="shared" si="2"/>
        <v>3.7769784172661871</v>
      </c>
      <c r="G15" t="str">
        <f t="shared" si="3"/>
        <v>1</v>
      </c>
      <c r="H15" t="str">
        <f t="shared" si="4"/>
        <v>1</v>
      </c>
      <c r="I15">
        <f t="shared" si="5"/>
        <v>0</v>
      </c>
      <c r="J15" s="53">
        <v>45932</v>
      </c>
      <c r="K15" t="s">
        <v>54</v>
      </c>
      <c r="L15" t="s">
        <v>55</v>
      </c>
      <c r="M15" t="s">
        <v>126</v>
      </c>
      <c r="N15" t="s">
        <v>56</v>
      </c>
      <c r="O15" t="s">
        <v>214</v>
      </c>
      <c r="P15" t="s">
        <v>215</v>
      </c>
      <c r="Q15" t="s">
        <v>159</v>
      </c>
      <c r="R15">
        <v>1</v>
      </c>
      <c r="S15" s="32">
        <v>556</v>
      </c>
      <c r="T15" t="s">
        <v>177</v>
      </c>
      <c r="U15">
        <v>1</v>
      </c>
      <c r="V15" t="s">
        <v>131</v>
      </c>
      <c r="W15" t="s">
        <v>152</v>
      </c>
      <c r="X15" t="s">
        <v>133</v>
      </c>
      <c r="Y15" t="s">
        <v>216</v>
      </c>
      <c r="Z15" t="s">
        <v>57</v>
      </c>
      <c r="AA15" t="s">
        <v>135</v>
      </c>
      <c r="AB15" s="54">
        <v>2200</v>
      </c>
      <c r="AC15" s="54">
        <v>2200</v>
      </c>
      <c r="AD15" s="44">
        <f t="shared" si="6"/>
        <v>3.9568345323741005</v>
      </c>
      <c r="AE15" s="44">
        <f t="shared" si="7"/>
        <v>3.9568345323741005</v>
      </c>
      <c r="AF15" t="s">
        <v>136</v>
      </c>
      <c r="AG15" t="s">
        <v>136</v>
      </c>
      <c r="AH15" t="s">
        <v>136</v>
      </c>
      <c r="AI15" t="s">
        <v>217</v>
      </c>
      <c r="AJ15" t="s">
        <v>218</v>
      </c>
      <c r="AK15" t="s">
        <v>219</v>
      </c>
      <c r="AL15" t="s">
        <v>140</v>
      </c>
      <c r="AM15" t="s">
        <v>58</v>
      </c>
      <c r="AN15" s="63">
        <f>IFERROR(E15*(1+IF(AM15="Apartment",Data_Summary!$C$3,0)),"")</f>
        <v>3.9568345323741005</v>
      </c>
    </row>
    <row r="16" spans="1:40" ht="15" customHeight="1">
      <c r="A16">
        <f>IF(AND(ISNUMBER(B16),B16&gt;0,ISNUMBER(AB16),AB16&gt;0,J16&gt;=Data_Summary!$C$1),1,0)</f>
        <v>1</v>
      </c>
      <c r="B16" s="51">
        <v>988</v>
      </c>
      <c r="C16" s="26">
        <f t="shared" si="0"/>
        <v>3000</v>
      </c>
      <c r="D16">
        <f>IF(ISNUMBER(C16),C16-U16*Data_Summary!$C$2,"")</f>
        <v>2900</v>
      </c>
      <c r="E16" s="52">
        <f t="shared" si="1"/>
        <v>3.0364372469635628</v>
      </c>
      <c r="F16" s="44">
        <f t="shared" si="2"/>
        <v>2.9352226720647772</v>
      </c>
      <c r="G16" t="str">
        <f t="shared" si="3"/>
        <v>3</v>
      </c>
      <c r="H16" t="str">
        <f t="shared" si="4"/>
        <v>3</v>
      </c>
      <c r="I16">
        <f t="shared" si="5"/>
        <v>0</v>
      </c>
      <c r="J16" s="53">
        <v>45923</v>
      </c>
      <c r="K16" t="s">
        <v>54</v>
      </c>
      <c r="L16" t="s">
        <v>55</v>
      </c>
      <c r="M16" t="s">
        <v>126</v>
      </c>
      <c r="N16" t="s">
        <v>56</v>
      </c>
      <c r="O16" t="s">
        <v>220</v>
      </c>
      <c r="P16" t="s">
        <v>221</v>
      </c>
      <c r="Q16" t="s">
        <v>183</v>
      </c>
      <c r="R16">
        <v>2</v>
      </c>
      <c r="S16" s="32">
        <v>988</v>
      </c>
      <c r="T16" t="s">
        <v>184</v>
      </c>
      <c r="U16">
        <v>1</v>
      </c>
      <c r="V16" t="s">
        <v>131</v>
      </c>
      <c r="W16" t="s">
        <v>152</v>
      </c>
      <c r="X16" t="s">
        <v>133</v>
      </c>
      <c r="Y16" t="s">
        <v>185</v>
      </c>
      <c r="Z16" t="s">
        <v>57</v>
      </c>
      <c r="AA16" t="s">
        <v>135</v>
      </c>
      <c r="AB16" s="54">
        <v>3000</v>
      </c>
      <c r="AC16" s="54">
        <v>3000</v>
      </c>
      <c r="AD16" s="44">
        <f t="shared" si="6"/>
        <v>3.0364372469635628</v>
      </c>
      <c r="AE16" s="44">
        <f t="shared" si="7"/>
        <v>3.0364372469635628</v>
      </c>
      <c r="AF16" t="s">
        <v>136</v>
      </c>
      <c r="AG16" t="s">
        <v>136</v>
      </c>
      <c r="AH16" t="s">
        <v>136</v>
      </c>
      <c r="AI16" t="s">
        <v>222</v>
      </c>
      <c r="AJ16" t="s">
        <v>223</v>
      </c>
      <c r="AK16" s="61" t="s">
        <v>224</v>
      </c>
      <c r="AL16" t="s">
        <v>140</v>
      </c>
      <c r="AM16" t="s">
        <v>58</v>
      </c>
      <c r="AN16" s="63">
        <f>IFERROR(E16*(1+IF(AM16="Apartment",Data_Summary!$C$3,0)),"")</f>
        <v>3.0364372469635628</v>
      </c>
    </row>
    <row r="17" spans="1:40" ht="15" customHeight="1">
      <c r="A17">
        <f>IF(AND(ISNUMBER(B17),B17&gt;0,ISNUMBER(AB17),AB17&gt;0,J17&gt;=Data_Summary!$C$1),1,0)</f>
        <v>1</v>
      </c>
      <c r="B17" s="51">
        <v>663</v>
      </c>
      <c r="C17" s="26">
        <f t="shared" si="0"/>
        <v>2300</v>
      </c>
      <c r="D17">
        <f>IF(ISNUMBER(C17),C17-U17*Data_Summary!$C$2,"")</f>
        <v>2200</v>
      </c>
      <c r="E17" s="52">
        <f t="shared" si="1"/>
        <v>3.4690799396681751</v>
      </c>
      <c r="F17" s="44">
        <f t="shared" si="2"/>
        <v>3.3182503770739067</v>
      </c>
      <c r="G17" t="str">
        <f t="shared" si="3"/>
        <v>1+1</v>
      </c>
      <c r="H17" t="str">
        <f t="shared" si="4"/>
        <v>1</v>
      </c>
      <c r="I17">
        <f t="shared" si="5"/>
        <v>1</v>
      </c>
      <c r="J17" s="53">
        <v>45905</v>
      </c>
      <c r="K17" t="s">
        <v>54</v>
      </c>
      <c r="L17" t="s">
        <v>55</v>
      </c>
      <c r="M17" t="s">
        <v>126</v>
      </c>
      <c r="N17" t="s">
        <v>56</v>
      </c>
      <c r="O17" t="s">
        <v>225</v>
      </c>
      <c r="P17" t="s">
        <v>226</v>
      </c>
      <c r="Q17" t="s">
        <v>143</v>
      </c>
      <c r="R17">
        <v>1</v>
      </c>
      <c r="S17" s="32">
        <v>663</v>
      </c>
      <c r="T17" t="s">
        <v>130</v>
      </c>
      <c r="U17">
        <v>1</v>
      </c>
      <c r="V17" t="s">
        <v>131</v>
      </c>
      <c r="W17" t="s">
        <v>152</v>
      </c>
      <c r="X17" t="s">
        <v>133</v>
      </c>
      <c r="Y17" t="s">
        <v>153</v>
      </c>
      <c r="Z17" t="s">
        <v>57</v>
      </c>
      <c r="AA17" t="s">
        <v>135</v>
      </c>
      <c r="AB17" s="54">
        <v>2300</v>
      </c>
      <c r="AC17" s="54">
        <v>2300</v>
      </c>
      <c r="AD17" s="44">
        <f t="shared" si="6"/>
        <v>3.4690799396681751</v>
      </c>
      <c r="AE17" s="44">
        <f t="shared" si="7"/>
        <v>3.4690799396681751</v>
      </c>
      <c r="AF17" t="s">
        <v>136</v>
      </c>
      <c r="AG17" t="s">
        <v>136</v>
      </c>
      <c r="AH17" t="s">
        <v>136</v>
      </c>
      <c r="AI17" t="s">
        <v>227</v>
      </c>
      <c r="AJ17" t="s">
        <v>228</v>
      </c>
      <c r="AK17" t="s">
        <v>229</v>
      </c>
      <c r="AL17" t="s">
        <v>140</v>
      </c>
      <c r="AM17" t="s">
        <v>58</v>
      </c>
      <c r="AN17" s="63">
        <f>IFERROR(E17*(1+IF(AM17="Apartment",Data_Summary!$C$3,0)),"")</f>
        <v>3.4690799396681751</v>
      </c>
    </row>
    <row r="18" spans="1:40" ht="15" customHeight="1">
      <c r="A18">
        <f>IF(AND(ISNUMBER(B18),B18&gt;0,ISNUMBER(AB18),AB18&gt;0,J18&gt;=Data_Summary!$C$1),1,0)</f>
        <v>1</v>
      </c>
      <c r="B18" s="51">
        <v>588</v>
      </c>
      <c r="C18" s="26">
        <f t="shared" si="0"/>
        <v>2000</v>
      </c>
      <c r="D18">
        <f>IF(ISNUMBER(C18),C18-U18*Data_Summary!$C$2,"")</f>
        <v>2000</v>
      </c>
      <c r="E18" s="52">
        <f t="shared" si="1"/>
        <v>3.4013605442176869</v>
      </c>
      <c r="F18" s="44">
        <f t="shared" si="2"/>
        <v>3.4013605442176869</v>
      </c>
      <c r="G18" t="str">
        <f t="shared" si="3"/>
        <v>1+1</v>
      </c>
      <c r="H18" t="str">
        <f t="shared" si="4"/>
        <v>1</v>
      </c>
      <c r="I18">
        <f t="shared" si="5"/>
        <v>1</v>
      </c>
      <c r="J18" s="53">
        <v>45887</v>
      </c>
      <c r="K18" t="s">
        <v>54</v>
      </c>
      <c r="L18" t="s">
        <v>55</v>
      </c>
      <c r="M18" t="s">
        <v>126</v>
      </c>
      <c r="N18" t="s">
        <v>56</v>
      </c>
      <c r="O18" t="s">
        <v>230</v>
      </c>
      <c r="P18" t="s">
        <v>231</v>
      </c>
      <c r="Q18" t="s">
        <v>143</v>
      </c>
      <c r="R18">
        <v>1</v>
      </c>
      <c r="S18" s="32">
        <v>588</v>
      </c>
      <c r="T18" t="s">
        <v>177</v>
      </c>
      <c r="U18">
        <v>0</v>
      </c>
      <c r="V18" t="s">
        <v>136</v>
      </c>
      <c r="W18" t="s">
        <v>152</v>
      </c>
      <c r="X18" t="s">
        <v>133</v>
      </c>
      <c r="Y18" t="s">
        <v>185</v>
      </c>
      <c r="Z18" t="s">
        <v>57</v>
      </c>
      <c r="AA18" t="s">
        <v>135</v>
      </c>
      <c r="AB18" s="54">
        <v>2000</v>
      </c>
      <c r="AC18" s="54">
        <v>2000</v>
      </c>
      <c r="AD18" s="44">
        <f t="shared" si="6"/>
        <v>3.4013605442176869</v>
      </c>
      <c r="AE18" s="44">
        <f t="shared" si="7"/>
        <v>3.4013605442176869</v>
      </c>
      <c r="AF18" t="s">
        <v>136</v>
      </c>
      <c r="AG18" t="s">
        <v>136</v>
      </c>
      <c r="AH18" t="s">
        <v>136</v>
      </c>
      <c r="AI18" t="s">
        <v>232</v>
      </c>
      <c r="AJ18" t="s">
        <v>233</v>
      </c>
      <c r="AK18" t="s">
        <v>234</v>
      </c>
      <c r="AL18" t="s">
        <v>140</v>
      </c>
      <c r="AM18" t="s">
        <v>58</v>
      </c>
      <c r="AN18" s="63">
        <f>IFERROR(E18*(1+IF(AM18="Apartment",Data_Summary!$C$3,0)),"")</f>
        <v>3.4013605442176869</v>
      </c>
    </row>
    <row r="19" spans="1:40" ht="15" customHeight="1">
      <c r="A19">
        <f>IF(AND(ISNUMBER(B19),B19&gt;0,ISNUMBER(AB19),AB19&gt;0,J19&gt;=Data_Summary!$C$1),1,0)</f>
        <v>1</v>
      </c>
      <c r="B19" s="51">
        <v>988</v>
      </c>
      <c r="C19" s="26">
        <f t="shared" si="0"/>
        <v>3200</v>
      </c>
      <c r="D19">
        <f>IF(ISNUMBER(C19),C19-U19*Data_Summary!$C$2,"")</f>
        <v>3100</v>
      </c>
      <c r="E19" s="52">
        <f t="shared" si="1"/>
        <v>3.2388663967611335</v>
      </c>
      <c r="F19" s="44">
        <f t="shared" si="2"/>
        <v>3.1376518218623484</v>
      </c>
      <c r="G19" t="str">
        <f t="shared" si="3"/>
        <v>3</v>
      </c>
      <c r="H19" t="str">
        <f t="shared" si="4"/>
        <v>3</v>
      </c>
      <c r="I19">
        <f t="shared" si="5"/>
        <v>0</v>
      </c>
      <c r="J19" s="53">
        <v>45862</v>
      </c>
      <c r="K19" t="s">
        <v>54</v>
      </c>
      <c r="L19" t="s">
        <v>55</v>
      </c>
      <c r="M19" t="s">
        <v>126</v>
      </c>
      <c r="N19" t="s">
        <v>56</v>
      </c>
      <c r="O19" t="s">
        <v>235</v>
      </c>
      <c r="P19" t="s">
        <v>236</v>
      </c>
      <c r="Q19" t="s">
        <v>183</v>
      </c>
      <c r="R19">
        <v>2</v>
      </c>
      <c r="S19" s="32">
        <v>988</v>
      </c>
      <c r="T19" t="s">
        <v>184</v>
      </c>
      <c r="U19">
        <v>1</v>
      </c>
      <c r="V19" t="s">
        <v>131</v>
      </c>
      <c r="W19" t="s">
        <v>152</v>
      </c>
      <c r="X19" t="s">
        <v>133</v>
      </c>
      <c r="Y19" t="s">
        <v>185</v>
      </c>
      <c r="Z19" t="s">
        <v>57</v>
      </c>
      <c r="AA19" t="s">
        <v>135</v>
      </c>
      <c r="AB19" s="54">
        <v>3200</v>
      </c>
      <c r="AC19" s="54">
        <v>3200</v>
      </c>
      <c r="AD19" s="44">
        <f t="shared" si="6"/>
        <v>3.2388663967611335</v>
      </c>
      <c r="AE19" s="44">
        <f t="shared" si="7"/>
        <v>3.2388663967611335</v>
      </c>
      <c r="AF19" t="s">
        <v>136</v>
      </c>
      <c r="AG19" t="s">
        <v>136</v>
      </c>
      <c r="AH19" t="s">
        <v>136</v>
      </c>
      <c r="AI19" t="s">
        <v>237</v>
      </c>
      <c r="AJ19" t="s">
        <v>238</v>
      </c>
      <c r="AK19" t="s">
        <v>239</v>
      </c>
      <c r="AL19" t="s">
        <v>140</v>
      </c>
      <c r="AM19" t="s">
        <v>58</v>
      </c>
      <c r="AN19" s="63">
        <f>IFERROR(E19*(1+IF(AM19="Apartment",Data_Summary!$C$3,0)),"")</f>
        <v>3.2388663967611335</v>
      </c>
    </row>
    <row r="20" spans="1:40" ht="15" customHeight="1">
      <c r="A20">
        <f>IF(AND(ISNUMBER(B20),B20&gt;0,ISNUMBER(AB20),AB20&gt;0,J20&gt;=Data_Summary!$C$1),1,0)</f>
        <v>1</v>
      </c>
      <c r="B20" s="51">
        <v>797</v>
      </c>
      <c r="C20" s="26">
        <f t="shared" si="0"/>
        <v>2500</v>
      </c>
      <c r="D20">
        <f>IF(ISNUMBER(C20),C20-U20*Data_Summary!$C$2,"")</f>
        <v>2400</v>
      </c>
      <c r="E20" s="52">
        <f t="shared" si="1"/>
        <v>3.1367628607277291</v>
      </c>
      <c r="F20" s="44">
        <f t="shared" si="2"/>
        <v>3.0112923462986196</v>
      </c>
      <c r="G20" t="str">
        <f t="shared" si="3"/>
        <v>2</v>
      </c>
      <c r="H20" t="str">
        <f t="shared" si="4"/>
        <v>2</v>
      </c>
      <c r="I20">
        <f t="shared" si="5"/>
        <v>0</v>
      </c>
      <c r="J20" s="53">
        <v>45841</v>
      </c>
      <c r="K20" t="s">
        <v>54</v>
      </c>
      <c r="L20" t="s">
        <v>55</v>
      </c>
      <c r="M20" t="s">
        <v>126</v>
      </c>
      <c r="N20" t="s">
        <v>56</v>
      </c>
      <c r="O20" t="s">
        <v>240</v>
      </c>
      <c r="P20" t="s">
        <v>241</v>
      </c>
      <c r="Q20" t="s">
        <v>129</v>
      </c>
      <c r="R20">
        <v>2</v>
      </c>
      <c r="S20" s="32">
        <v>797</v>
      </c>
      <c r="T20" t="s">
        <v>151</v>
      </c>
      <c r="U20">
        <v>1</v>
      </c>
      <c r="V20" t="s">
        <v>131</v>
      </c>
      <c r="W20" t="s">
        <v>152</v>
      </c>
      <c r="X20" t="s">
        <v>133</v>
      </c>
      <c r="Y20" t="s">
        <v>153</v>
      </c>
      <c r="Z20" t="s">
        <v>57</v>
      </c>
      <c r="AA20" t="s">
        <v>135</v>
      </c>
      <c r="AB20" s="54">
        <v>2500</v>
      </c>
      <c r="AC20" s="54">
        <v>2500</v>
      </c>
      <c r="AD20" s="44">
        <f t="shared" si="6"/>
        <v>3.1367628607277291</v>
      </c>
      <c r="AE20" s="44">
        <f t="shared" si="7"/>
        <v>3.1367628607277291</v>
      </c>
      <c r="AF20" t="s">
        <v>136</v>
      </c>
      <c r="AG20" t="s">
        <v>136</v>
      </c>
      <c r="AH20" t="s">
        <v>136</v>
      </c>
      <c r="AI20" t="s">
        <v>242</v>
      </c>
      <c r="AJ20" t="s">
        <v>243</v>
      </c>
      <c r="AK20" t="s">
        <v>244</v>
      </c>
      <c r="AL20" t="s">
        <v>140</v>
      </c>
      <c r="AM20" t="s">
        <v>58</v>
      </c>
      <c r="AN20" s="63">
        <f>IFERROR(E20*(1+IF(AM20="Apartment",Data_Summary!$C$3,0)),"")</f>
        <v>3.1367628607277291</v>
      </c>
    </row>
    <row r="21" spans="1:40" ht="15" customHeight="1">
      <c r="A21">
        <f>IF(AND(ISNUMBER(B21),B21&gt;0,ISNUMBER(AB21),AB21&gt;0,J21&gt;=Data_Summary!$C$1),1,0)</f>
        <v>1</v>
      </c>
      <c r="B21" s="51">
        <v>816</v>
      </c>
      <c r="C21" s="26">
        <f t="shared" si="0"/>
        <v>2400</v>
      </c>
      <c r="D21">
        <f>IF(ISNUMBER(C21),C21-U21*Data_Summary!$C$2,"")</f>
        <v>2400</v>
      </c>
      <c r="E21" s="52">
        <f t="shared" si="1"/>
        <v>2.9411764705882355</v>
      </c>
      <c r="F21" s="44">
        <f t="shared" si="2"/>
        <v>2.9411764705882355</v>
      </c>
      <c r="G21" t="str">
        <f t="shared" si="3"/>
        <v>2</v>
      </c>
      <c r="H21" t="str">
        <f t="shared" si="4"/>
        <v>2</v>
      </c>
      <c r="I21">
        <f t="shared" si="5"/>
        <v>0</v>
      </c>
      <c r="J21" s="53">
        <v>45834</v>
      </c>
      <c r="K21" t="s">
        <v>54</v>
      </c>
      <c r="L21" t="s">
        <v>55</v>
      </c>
      <c r="M21" t="s">
        <v>126</v>
      </c>
      <c r="N21" t="s">
        <v>56</v>
      </c>
      <c r="O21" t="s">
        <v>245</v>
      </c>
      <c r="P21" t="s">
        <v>246</v>
      </c>
      <c r="Q21" t="s">
        <v>129</v>
      </c>
      <c r="R21">
        <v>2</v>
      </c>
      <c r="S21" s="32">
        <v>816</v>
      </c>
      <c r="T21" t="s">
        <v>171</v>
      </c>
      <c r="U21">
        <v>0</v>
      </c>
      <c r="V21" t="s">
        <v>136</v>
      </c>
      <c r="W21" t="s">
        <v>144</v>
      </c>
      <c r="X21" t="s">
        <v>133</v>
      </c>
      <c r="Y21" t="s">
        <v>160</v>
      </c>
      <c r="Z21" t="s">
        <v>57</v>
      </c>
      <c r="AA21" t="s">
        <v>135</v>
      </c>
      <c r="AB21" s="54">
        <v>2400</v>
      </c>
      <c r="AC21" s="54">
        <v>2400</v>
      </c>
      <c r="AD21" s="44">
        <f t="shared" si="6"/>
        <v>2.9411764705882355</v>
      </c>
      <c r="AE21" s="44">
        <f t="shared" si="7"/>
        <v>2.9411764705882355</v>
      </c>
      <c r="AF21" t="s">
        <v>136</v>
      </c>
      <c r="AG21" t="s">
        <v>136</v>
      </c>
      <c r="AH21" t="s">
        <v>136</v>
      </c>
      <c r="AI21" t="s">
        <v>247</v>
      </c>
      <c r="AJ21" t="s">
        <v>248</v>
      </c>
      <c r="AK21" t="s">
        <v>249</v>
      </c>
      <c r="AL21" t="s">
        <v>140</v>
      </c>
      <c r="AM21" t="s">
        <v>58</v>
      </c>
      <c r="AN21" s="63">
        <f>IFERROR(E21*(1+IF(AM21="Apartment",Data_Summary!$C$3,0)),"")</f>
        <v>2.9411764705882355</v>
      </c>
    </row>
    <row r="22" spans="1:40" ht="15" customHeight="1">
      <c r="A22">
        <f>IF(AND(ISNUMBER(B22),B22&gt;0,ISNUMBER(AB22),AB22&gt;0,J22&gt;=Data_Summary!$C$1),1,0)</f>
        <v>1</v>
      </c>
      <c r="B22" s="51">
        <v>617</v>
      </c>
      <c r="C22" s="26">
        <f t="shared" si="0"/>
        <v>2100</v>
      </c>
      <c r="D22">
        <f>IF(ISNUMBER(C22),C22-U22*Data_Summary!$C$2,"")</f>
        <v>2000</v>
      </c>
      <c r="E22" s="52">
        <f t="shared" si="1"/>
        <v>3.4035656401944894</v>
      </c>
      <c r="F22" s="44">
        <f t="shared" si="2"/>
        <v>3.2414910858995136</v>
      </c>
      <c r="G22" t="str">
        <f t="shared" si="3"/>
        <v>1</v>
      </c>
      <c r="H22" t="str">
        <f t="shared" si="4"/>
        <v>1</v>
      </c>
      <c r="I22">
        <f t="shared" si="5"/>
        <v>0</v>
      </c>
      <c r="J22" s="53">
        <v>45791</v>
      </c>
      <c r="K22" t="s">
        <v>54</v>
      </c>
      <c r="L22" t="s">
        <v>55</v>
      </c>
      <c r="M22" t="s">
        <v>126</v>
      </c>
      <c r="N22" t="s">
        <v>56</v>
      </c>
      <c r="O22" t="s">
        <v>157</v>
      </c>
      <c r="P22" t="s">
        <v>158</v>
      </c>
      <c r="Q22" t="s">
        <v>159</v>
      </c>
      <c r="R22">
        <v>1</v>
      </c>
      <c r="S22" s="32">
        <v>617</v>
      </c>
      <c r="T22" t="s">
        <v>130</v>
      </c>
      <c r="U22">
        <v>1</v>
      </c>
      <c r="V22" t="s">
        <v>131</v>
      </c>
      <c r="W22" t="s">
        <v>152</v>
      </c>
      <c r="X22" t="s">
        <v>133</v>
      </c>
      <c r="Y22" t="s">
        <v>160</v>
      </c>
      <c r="Z22" t="s">
        <v>57</v>
      </c>
      <c r="AA22" t="s">
        <v>135</v>
      </c>
      <c r="AB22" s="54">
        <v>2100</v>
      </c>
      <c r="AC22" s="54">
        <v>2100</v>
      </c>
      <c r="AD22" s="44">
        <f t="shared" si="6"/>
        <v>3.4035656401944894</v>
      </c>
      <c r="AE22" s="44">
        <f t="shared" si="7"/>
        <v>3.4035656401944894</v>
      </c>
      <c r="AF22" t="s">
        <v>136</v>
      </c>
      <c r="AG22" t="s">
        <v>136</v>
      </c>
      <c r="AH22" t="s">
        <v>136</v>
      </c>
      <c r="AI22" t="s">
        <v>250</v>
      </c>
      <c r="AJ22" t="s">
        <v>162</v>
      </c>
      <c r="AK22" t="s">
        <v>163</v>
      </c>
      <c r="AL22" t="s">
        <v>140</v>
      </c>
      <c r="AM22" t="s">
        <v>58</v>
      </c>
      <c r="AN22" s="63">
        <f>IFERROR(E22*(1+IF(AM22="Apartment",Data_Summary!$C$3,0)),"")</f>
        <v>3.4035656401944894</v>
      </c>
    </row>
    <row r="23" spans="1:40" ht="15" customHeight="1">
      <c r="A23">
        <f>IF(AND(ISNUMBER(B23),B23&gt;0,ISNUMBER(AB23),AB23&gt;0,J23&gt;=Data_Summary!$C$1),1,0)</f>
        <v>0</v>
      </c>
      <c r="B23" s="55">
        <v>751</v>
      </c>
      <c r="C23" s="26">
        <f t="shared" si="0"/>
        <v>2500</v>
      </c>
      <c r="D23">
        <f>IF(ISNUMBER(C23),C23-U23*Data_Summary!$C$2,"")</f>
        <v>2400</v>
      </c>
      <c r="E23" s="56">
        <f t="shared" si="1"/>
        <v>3.3288948069241013</v>
      </c>
      <c r="F23" s="44">
        <f t="shared" si="2"/>
        <v>3.1957390146471369</v>
      </c>
      <c r="G23" t="str">
        <f t="shared" si="3"/>
        <v>2</v>
      </c>
      <c r="H23" t="str">
        <f t="shared" si="4"/>
        <v>2</v>
      </c>
      <c r="I23">
        <f t="shared" si="5"/>
        <v>0</v>
      </c>
      <c r="J23" s="53">
        <v>45770</v>
      </c>
      <c r="K23" t="s">
        <v>54</v>
      </c>
      <c r="L23" t="s">
        <v>55</v>
      </c>
      <c r="M23" t="s">
        <v>126</v>
      </c>
      <c r="N23" t="s">
        <v>56</v>
      </c>
      <c r="O23" t="s">
        <v>251</v>
      </c>
      <c r="P23" t="s">
        <v>252</v>
      </c>
      <c r="Q23" t="s">
        <v>129</v>
      </c>
      <c r="R23">
        <v>2</v>
      </c>
      <c r="S23" s="32">
        <v>751</v>
      </c>
      <c r="T23" t="s">
        <v>151</v>
      </c>
      <c r="U23">
        <v>1</v>
      </c>
      <c r="V23" t="s">
        <v>131</v>
      </c>
      <c r="W23" t="s">
        <v>152</v>
      </c>
      <c r="X23" t="s">
        <v>133</v>
      </c>
      <c r="Y23" t="s">
        <v>153</v>
      </c>
      <c r="Z23" t="s">
        <v>57</v>
      </c>
      <c r="AA23" t="s">
        <v>135</v>
      </c>
      <c r="AB23" s="54">
        <v>2500</v>
      </c>
      <c r="AC23" s="54">
        <v>2500</v>
      </c>
      <c r="AD23" s="44">
        <f t="shared" si="6"/>
        <v>3.3288948069241013</v>
      </c>
      <c r="AE23" s="44">
        <f t="shared" si="7"/>
        <v>3.3288948069241013</v>
      </c>
      <c r="AF23" t="s">
        <v>136</v>
      </c>
      <c r="AG23" t="s">
        <v>136</v>
      </c>
      <c r="AH23" t="s">
        <v>136</v>
      </c>
      <c r="AI23" t="s">
        <v>253</v>
      </c>
      <c r="AJ23" t="s">
        <v>254</v>
      </c>
      <c r="AK23" t="s">
        <v>255</v>
      </c>
      <c r="AL23" t="s">
        <v>140</v>
      </c>
      <c r="AM23" t="s">
        <v>58</v>
      </c>
      <c r="AN23" s="63">
        <f>IFERROR(E23*(1+IF(AM23="Apartment",Data_Summary!$C$3,0)),"")</f>
        <v>3.3288948069241013</v>
      </c>
    </row>
    <row r="24" spans="1:40" ht="15" customHeight="1">
      <c r="A24">
        <f>IF(AND(ISNUMBER(B24),B24&gt;0,ISNUMBER(AB24),AB24&gt;0,J24&gt;=Data_Summary!$C$1),1,0)</f>
        <v>0</v>
      </c>
      <c r="B24" s="55">
        <v>694</v>
      </c>
      <c r="C24" s="26">
        <f t="shared" si="0"/>
        <v>2400</v>
      </c>
      <c r="D24">
        <f>IF(ISNUMBER(C24),C24-U24*Data_Summary!$C$2,"")</f>
        <v>2300</v>
      </c>
      <c r="E24" s="56">
        <f t="shared" si="1"/>
        <v>3.4582132564841497</v>
      </c>
      <c r="F24" s="44">
        <f t="shared" si="2"/>
        <v>3.3141210374639769</v>
      </c>
      <c r="G24" t="str">
        <f t="shared" si="3"/>
        <v>2</v>
      </c>
      <c r="H24" t="str">
        <f t="shared" si="4"/>
        <v>2</v>
      </c>
      <c r="I24">
        <f t="shared" si="5"/>
        <v>0</v>
      </c>
      <c r="J24" s="53">
        <v>45769</v>
      </c>
      <c r="K24" t="s">
        <v>54</v>
      </c>
      <c r="L24" t="s">
        <v>55</v>
      </c>
      <c r="M24" t="s">
        <v>126</v>
      </c>
      <c r="N24" t="s">
        <v>56</v>
      </c>
      <c r="O24" t="s">
        <v>256</v>
      </c>
      <c r="P24" t="s">
        <v>257</v>
      </c>
      <c r="Q24" t="s">
        <v>129</v>
      </c>
      <c r="R24">
        <v>2</v>
      </c>
      <c r="S24" s="32">
        <v>694</v>
      </c>
      <c r="T24" t="s">
        <v>130</v>
      </c>
      <c r="U24">
        <v>1</v>
      </c>
      <c r="V24" t="s">
        <v>131</v>
      </c>
      <c r="W24" t="s">
        <v>152</v>
      </c>
      <c r="X24" t="s">
        <v>133</v>
      </c>
      <c r="Y24" t="s">
        <v>153</v>
      </c>
      <c r="Z24" t="s">
        <v>57</v>
      </c>
      <c r="AA24" t="s">
        <v>135</v>
      </c>
      <c r="AB24" s="54">
        <v>2400</v>
      </c>
      <c r="AC24" s="54">
        <v>2400</v>
      </c>
      <c r="AD24" s="44">
        <f t="shared" si="6"/>
        <v>3.4582132564841497</v>
      </c>
      <c r="AE24" s="44">
        <f t="shared" si="7"/>
        <v>3.4582132564841497</v>
      </c>
      <c r="AF24" t="s">
        <v>136</v>
      </c>
      <c r="AG24" t="s">
        <v>136</v>
      </c>
      <c r="AH24" t="s">
        <v>136</v>
      </c>
      <c r="AI24" t="s">
        <v>258</v>
      </c>
      <c r="AJ24" t="s">
        <v>259</v>
      </c>
      <c r="AK24" t="s">
        <v>260</v>
      </c>
      <c r="AL24" t="s">
        <v>140</v>
      </c>
      <c r="AM24" t="s">
        <v>58</v>
      </c>
      <c r="AN24" s="63">
        <f>IFERROR(E24*(1+IF(AM24="Apartment",Data_Summary!$C$3,0)),"")</f>
        <v>3.4582132564841497</v>
      </c>
    </row>
    <row r="25" spans="1:40" ht="15" customHeight="1">
      <c r="A25">
        <f>IF(AND(ISNUMBER(B25),B25&gt;0,ISNUMBER(AB25),AB25&gt;0,J25&gt;=Data_Summary!$C$1),1,0)</f>
        <v>0</v>
      </c>
      <c r="B25" s="55">
        <v>715</v>
      </c>
      <c r="C25" s="26">
        <f t="shared" si="0"/>
        <v>2600</v>
      </c>
      <c r="D25">
        <f>IF(ISNUMBER(C25),C25-U25*Data_Summary!$C$2,"")</f>
        <v>2600</v>
      </c>
      <c r="E25" s="56">
        <f t="shared" si="1"/>
        <v>3.6363636363636362</v>
      </c>
      <c r="F25" s="44">
        <f t="shared" si="2"/>
        <v>3.6363636363636362</v>
      </c>
      <c r="G25" t="str">
        <f t="shared" si="3"/>
        <v>2</v>
      </c>
      <c r="H25" t="str">
        <f t="shared" si="4"/>
        <v>2</v>
      </c>
      <c r="I25">
        <f t="shared" si="5"/>
        <v>0</v>
      </c>
      <c r="J25" s="53">
        <v>45763</v>
      </c>
      <c r="K25" t="s">
        <v>54</v>
      </c>
      <c r="L25" t="s">
        <v>55</v>
      </c>
      <c r="M25" t="s">
        <v>126</v>
      </c>
      <c r="N25" t="s">
        <v>56</v>
      </c>
      <c r="O25" t="s">
        <v>261</v>
      </c>
      <c r="P25" t="s">
        <v>262</v>
      </c>
      <c r="Q25" t="s">
        <v>129</v>
      </c>
      <c r="R25">
        <v>2</v>
      </c>
      <c r="S25" s="32">
        <v>715</v>
      </c>
      <c r="T25" t="s">
        <v>151</v>
      </c>
      <c r="U25">
        <v>0</v>
      </c>
      <c r="V25" t="s">
        <v>136</v>
      </c>
      <c r="W25" t="s">
        <v>144</v>
      </c>
      <c r="X25" t="s">
        <v>133</v>
      </c>
      <c r="Y25" t="s">
        <v>153</v>
      </c>
      <c r="Z25" t="s">
        <v>57</v>
      </c>
      <c r="AA25" t="s">
        <v>135</v>
      </c>
      <c r="AB25" s="54">
        <v>2600</v>
      </c>
      <c r="AC25" s="54">
        <v>2600</v>
      </c>
      <c r="AD25" s="44">
        <f t="shared" si="6"/>
        <v>3.6363636363636362</v>
      </c>
      <c r="AE25" s="44">
        <f t="shared" si="7"/>
        <v>3.6363636363636362</v>
      </c>
      <c r="AF25" t="s">
        <v>136</v>
      </c>
      <c r="AG25" t="s">
        <v>136</v>
      </c>
      <c r="AH25" t="s">
        <v>136</v>
      </c>
      <c r="AI25" t="s">
        <v>263</v>
      </c>
      <c r="AJ25" t="s">
        <v>264</v>
      </c>
      <c r="AK25" t="s">
        <v>265</v>
      </c>
      <c r="AL25" t="s">
        <v>140</v>
      </c>
      <c r="AM25" t="s">
        <v>58</v>
      </c>
      <c r="AN25" s="63">
        <f>IFERROR(E25*(1+IF(AM25="Apartment",Data_Summary!$C$3,0)),"")</f>
        <v>3.6363636363636362</v>
      </c>
    </row>
    <row r="26" spans="1:40" ht="15" customHeight="1">
      <c r="A26">
        <f>IF(AND(ISNUMBER(B26),B26&gt;0,ISNUMBER(AB26),AB26&gt;0,J26&gt;=Data_Summary!$C$1),1,0)</f>
        <v>0</v>
      </c>
      <c r="B26" s="55">
        <v>694</v>
      </c>
      <c r="C26" s="26">
        <f t="shared" si="0"/>
        <v>2150</v>
      </c>
      <c r="D26">
        <f>IF(ISNUMBER(C26),C26-U26*Data_Summary!$C$2,"")</f>
        <v>2150</v>
      </c>
      <c r="E26" s="56">
        <f t="shared" si="1"/>
        <v>3.0979827089337175</v>
      </c>
      <c r="F26" s="44">
        <f t="shared" si="2"/>
        <v>3.0979827089337175</v>
      </c>
      <c r="G26" t="str">
        <f t="shared" si="3"/>
        <v>1+1</v>
      </c>
      <c r="H26" t="str">
        <f t="shared" si="4"/>
        <v>1</v>
      </c>
      <c r="I26">
        <f t="shared" si="5"/>
        <v>1</v>
      </c>
      <c r="J26" s="53">
        <v>45758</v>
      </c>
      <c r="K26" t="s">
        <v>54</v>
      </c>
      <c r="L26" t="s">
        <v>55</v>
      </c>
      <c r="M26" t="s">
        <v>126</v>
      </c>
      <c r="N26" t="s">
        <v>56</v>
      </c>
      <c r="O26" t="s">
        <v>266</v>
      </c>
      <c r="P26" t="s">
        <v>267</v>
      </c>
      <c r="Q26" t="s">
        <v>143</v>
      </c>
      <c r="R26">
        <v>1</v>
      </c>
      <c r="S26" s="32">
        <v>694</v>
      </c>
      <c r="T26" t="s">
        <v>130</v>
      </c>
      <c r="U26">
        <v>0</v>
      </c>
      <c r="V26" t="s">
        <v>136</v>
      </c>
      <c r="W26" t="s">
        <v>144</v>
      </c>
      <c r="X26" t="s">
        <v>133</v>
      </c>
      <c r="Y26" t="s">
        <v>185</v>
      </c>
      <c r="Z26" t="s">
        <v>57</v>
      </c>
      <c r="AA26" t="s">
        <v>135</v>
      </c>
      <c r="AB26" s="54">
        <v>2150</v>
      </c>
      <c r="AC26" s="54">
        <v>2150</v>
      </c>
      <c r="AD26" s="44">
        <f t="shared" si="6"/>
        <v>3.0979827089337175</v>
      </c>
      <c r="AE26" s="44">
        <f t="shared" si="7"/>
        <v>3.0979827089337175</v>
      </c>
      <c r="AF26" t="s">
        <v>136</v>
      </c>
      <c r="AG26" t="s">
        <v>136</v>
      </c>
      <c r="AH26" t="s">
        <v>136</v>
      </c>
      <c r="AI26" t="s">
        <v>268</v>
      </c>
      <c r="AJ26" t="s">
        <v>269</v>
      </c>
      <c r="AK26" t="s">
        <v>270</v>
      </c>
      <c r="AL26" t="s">
        <v>140</v>
      </c>
      <c r="AM26" t="s">
        <v>58</v>
      </c>
      <c r="AN26" s="63">
        <f>IFERROR(E26*(1+IF(AM26="Apartment",Data_Summary!$C$3,0)),"")</f>
        <v>3.0979827089337175</v>
      </c>
    </row>
    <row r="27" spans="1:40" ht="15" customHeight="1">
      <c r="A27">
        <f>IF(AND(ISNUMBER(B27),B27&gt;0,ISNUMBER(AB27),AB27&gt;0,J27&gt;=Data_Summary!$C$1),1,0)</f>
        <v>0</v>
      </c>
      <c r="B27" s="55">
        <v>715</v>
      </c>
      <c r="C27" t="str">
        <f t="shared" si="0"/>
        <v/>
      </c>
      <c r="D27" t="str">
        <f>IF(ISNUMBER(C27),C27-U27*Data_Summary!$C$2,"")</f>
        <v/>
      </c>
      <c r="E27" s="56" t="str">
        <f t="shared" si="1"/>
        <v/>
      </c>
      <c r="F27" s="44" t="str">
        <f t="shared" si="2"/>
        <v/>
      </c>
      <c r="G27" t="str">
        <f t="shared" si="3"/>
        <v>2</v>
      </c>
      <c r="H27" t="str">
        <f t="shared" si="4"/>
        <v>2</v>
      </c>
      <c r="I27">
        <f t="shared" si="5"/>
        <v>0</v>
      </c>
      <c r="J27" s="53">
        <v>46162</v>
      </c>
      <c r="K27" t="s">
        <v>54</v>
      </c>
      <c r="L27" t="s">
        <v>55</v>
      </c>
      <c r="M27" t="s">
        <v>126</v>
      </c>
      <c r="N27" t="s">
        <v>56</v>
      </c>
      <c r="O27" t="s">
        <v>271</v>
      </c>
      <c r="P27" t="s">
        <v>272</v>
      </c>
      <c r="Q27" t="s">
        <v>129</v>
      </c>
      <c r="R27">
        <v>2</v>
      </c>
      <c r="S27" s="32">
        <v>715</v>
      </c>
      <c r="T27" t="s">
        <v>151</v>
      </c>
      <c r="U27">
        <v>1</v>
      </c>
      <c r="V27" t="s">
        <v>131</v>
      </c>
      <c r="W27" t="s">
        <v>144</v>
      </c>
      <c r="X27" t="s">
        <v>133</v>
      </c>
      <c r="Y27" t="s">
        <v>153</v>
      </c>
      <c r="Z27" t="s">
        <v>57</v>
      </c>
      <c r="AA27" t="s">
        <v>135</v>
      </c>
      <c r="AB27" s="32"/>
      <c r="AC27" s="54">
        <v>2400</v>
      </c>
      <c r="AD27" s="44">
        <f t="shared" si="6"/>
        <v>0</v>
      </c>
      <c r="AE27" s="44">
        <f t="shared" si="7"/>
        <v>3.3566433566433567</v>
      </c>
      <c r="AF27" t="s">
        <v>136</v>
      </c>
      <c r="AG27" t="s">
        <v>136</v>
      </c>
      <c r="AH27" t="s">
        <v>136</v>
      </c>
      <c r="AI27" t="s">
        <v>273</v>
      </c>
      <c r="AJ27" t="s">
        <v>274</v>
      </c>
      <c r="AK27" t="s">
        <v>275</v>
      </c>
      <c r="AL27" t="s">
        <v>276</v>
      </c>
      <c r="AM27" t="s">
        <v>58</v>
      </c>
      <c r="AN27" s="63" t="str">
        <f>IFERROR(E27*(1+IF(AM27="Apartment",Data_Summary!$C$3,0)),"")</f>
        <v/>
      </c>
    </row>
    <row r="28" spans="1:40" ht="15" customHeight="1">
      <c r="A28">
        <f>IF(AND(ISNUMBER(B28),B28&gt;0,ISNUMBER(AB28),AB28&gt;0,J28&gt;=Data_Summary!$C$1),1,0)</f>
        <v>0</v>
      </c>
      <c r="B28" s="55">
        <v>715</v>
      </c>
      <c r="C28" t="str">
        <f t="shared" si="0"/>
        <v/>
      </c>
      <c r="D28" t="str">
        <f>IF(ISNUMBER(C28),C28-U28*Data_Summary!$C$2,"")</f>
        <v/>
      </c>
      <c r="E28" s="56" t="str">
        <f t="shared" si="1"/>
        <v/>
      </c>
      <c r="F28" s="44" t="str">
        <f t="shared" si="2"/>
        <v/>
      </c>
      <c r="G28" t="str">
        <f t="shared" si="3"/>
        <v>2</v>
      </c>
      <c r="H28" t="str">
        <f t="shared" si="4"/>
        <v>2</v>
      </c>
      <c r="I28">
        <f t="shared" si="5"/>
        <v>0</v>
      </c>
      <c r="J28" s="53">
        <v>46164</v>
      </c>
      <c r="K28" t="s">
        <v>54</v>
      </c>
      <c r="L28" t="s">
        <v>55</v>
      </c>
      <c r="M28" t="s">
        <v>126</v>
      </c>
      <c r="N28" t="s">
        <v>56</v>
      </c>
      <c r="O28" t="s">
        <v>261</v>
      </c>
      <c r="P28" t="s">
        <v>262</v>
      </c>
      <c r="Q28" t="s">
        <v>129</v>
      </c>
      <c r="R28">
        <v>2</v>
      </c>
      <c r="S28" s="32">
        <v>715</v>
      </c>
      <c r="T28" t="s">
        <v>151</v>
      </c>
      <c r="U28">
        <v>0</v>
      </c>
      <c r="V28" t="s">
        <v>136</v>
      </c>
      <c r="W28" t="s">
        <v>144</v>
      </c>
      <c r="X28" t="s">
        <v>133</v>
      </c>
      <c r="Y28" t="s">
        <v>153</v>
      </c>
      <c r="Z28" t="s">
        <v>57</v>
      </c>
      <c r="AA28" t="s">
        <v>135</v>
      </c>
      <c r="AB28" s="32"/>
      <c r="AC28" s="54">
        <v>2500</v>
      </c>
      <c r="AD28" s="44">
        <f t="shared" si="6"/>
        <v>0</v>
      </c>
      <c r="AE28" s="44">
        <f t="shared" si="7"/>
        <v>3.4965034965034967</v>
      </c>
      <c r="AF28" t="s">
        <v>277</v>
      </c>
      <c r="AG28" t="s">
        <v>136</v>
      </c>
      <c r="AH28" t="s">
        <v>136</v>
      </c>
      <c r="AI28" t="s">
        <v>278</v>
      </c>
      <c r="AJ28" t="s">
        <v>279</v>
      </c>
      <c r="AK28" t="s">
        <v>280</v>
      </c>
      <c r="AL28" t="s">
        <v>276</v>
      </c>
      <c r="AM28" t="s">
        <v>58</v>
      </c>
      <c r="AN28" s="63" t="str">
        <f>IFERROR(E28*(1+IF(AM28="Apartment",Data_Summary!$C$3,0)),"")</f>
        <v/>
      </c>
    </row>
    <row r="29" spans="1:40" ht="15" customHeight="1">
      <c r="A29">
        <f>IF(AND(ISNUMBER(B29),B29&gt;0,ISNUMBER(AB29),AB29&gt;0,J29&gt;=Data_Summary!$C$1),1,0)</f>
        <v>0</v>
      </c>
      <c r="B29" s="55">
        <v>715</v>
      </c>
      <c r="C29" t="str">
        <f t="shared" si="0"/>
        <v/>
      </c>
      <c r="D29" t="str">
        <f>IF(ISNUMBER(C29),C29-U29*Data_Summary!$C$2,"")</f>
        <v/>
      </c>
      <c r="E29" s="56" t="str">
        <f t="shared" si="1"/>
        <v/>
      </c>
      <c r="F29" s="44" t="str">
        <f t="shared" si="2"/>
        <v/>
      </c>
      <c r="G29" t="str">
        <f t="shared" si="3"/>
        <v>2</v>
      </c>
      <c r="H29" t="str">
        <f t="shared" si="4"/>
        <v>2</v>
      </c>
      <c r="I29">
        <f t="shared" si="5"/>
        <v>0</v>
      </c>
      <c r="J29" s="53">
        <v>46084</v>
      </c>
      <c r="K29" t="s">
        <v>54</v>
      </c>
      <c r="L29" t="s">
        <v>55</v>
      </c>
      <c r="M29" t="s">
        <v>126</v>
      </c>
      <c r="N29" t="s">
        <v>56</v>
      </c>
      <c r="O29" t="s">
        <v>281</v>
      </c>
      <c r="P29" t="s">
        <v>282</v>
      </c>
      <c r="Q29" t="s">
        <v>129</v>
      </c>
      <c r="R29">
        <v>2</v>
      </c>
      <c r="S29" s="32">
        <v>715</v>
      </c>
      <c r="T29" t="s">
        <v>151</v>
      </c>
      <c r="U29">
        <v>1</v>
      </c>
      <c r="V29" t="s">
        <v>131</v>
      </c>
      <c r="W29" t="s">
        <v>144</v>
      </c>
      <c r="X29" t="s">
        <v>133</v>
      </c>
      <c r="Y29" t="s">
        <v>283</v>
      </c>
      <c r="Z29" t="s">
        <v>57</v>
      </c>
      <c r="AA29" t="s">
        <v>135</v>
      </c>
      <c r="AB29" s="32"/>
      <c r="AC29" s="54">
        <v>2500</v>
      </c>
      <c r="AD29" s="44">
        <f t="shared" si="6"/>
        <v>0</v>
      </c>
      <c r="AE29" s="44">
        <f t="shared" si="7"/>
        <v>3.4965034965034967</v>
      </c>
      <c r="AF29" t="s">
        <v>136</v>
      </c>
      <c r="AG29" t="s">
        <v>136</v>
      </c>
      <c r="AH29" t="s">
        <v>136</v>
      </c>
      <c r="AI29" t="s">
        <v>186</v>
      </c>
      <c r="AJ29" t="s">
        <v>284</v>
      </c>
      <c r="AK29" t="s">
        <v>285</v>
      </c>
      <c r="AL29" t="s">
        <v>276</v>
      </c>
      <c r="AM29" t="s">
        <v>58</v>
      </c>
      <c r="AN29" s="63" t="str">
        <f>IFERROR(E29*(1+IF(AM29="Apartment",Data_Summary!$C$3,0)),"")</f>
        <v/>
      </c>
    </row>
    <row r="30" spans="1:40" ht="15" customHeight="1">
      <c r="A30">
        <f>IF(AND(ISNUMBER(B30),B30&gt;0,ISNUMBER(AB30),AB30&gt;0,J30&gt;=Data_Summary!$C$1),1,0)</f>
        <v>0</v>
      </c>
      <c r="B30" s="57"/>
      <c r="C30" s="26">
        <f t="shared" si="0"/>
        <v>1560</v>
      </c>
      <c r="D30">
        <f>IF(ISNUMBER(C30),C30-U30*Data_Summary!$C$2,"")</f>
        <v>1560</v>
      </c>
      <c r="E30" s="58" t="str">
        <f t="shared" si="1"/>
        <v/>
      </c>
      <c r="F30" s="44" t="str">
        <f t="shared" si="2"/>
        <v/>
      </c>
      <c r="G30" t="str">
        <f t="shared" si="3"/>
        <v>1</v>
      </c>
      <c r="H30" t="str">
        <f t="shared" si="4"/>
        <v>1</v>
      </c>
      <c r="I30">
        <f t="shared" si="5"/>
        <v>0</v>
      </c>
      <c r="J30" s="53">
        <v>46118</v>
      </c>
      <c r="K30" t="s">
        <v>54</v>
      </c>
      <c r="L30" t="s">
        <v>55</v>
      </c>
      <c r="M30" t="s">
        <v>126</v>
      </c>
      <c r="N30" t="s">
        <v>56</v>
      </c>
      <c r="O30" t="s">
        <v>286</v>
      </c>
      <c r="P30" t="s">
        <v>287</v>
      </c>
      <c r="Q30" t="s">
        <v>159</v>
      </c>
      <c r="R30">
        <v>1</v>
      </c>
      <c r="S30" s="32"/>
      <c r="U30">
        <v>0</v>
      </c>
      <c r="V30" t="s">
        <v>136</v>
      </c>
      <c r="W30" t="s">
        <v>144</v>
      </c>
      <c r="X30" t="s">
        <v>133</v>
      </c>
      <c r="Z30" t="s">
        <v>57</v>
      </c>
      <c r="AA30" t="s">
        <v>135</v>
      </c>
      <c r="AB30" s="54">
        <v>1560</v>
      </c>
      <c r="AC30" s="54">
        <v>1480</v>
      </c>
      <c r="AD30" s="44" t="str">
        <f t="shared" si="6"/>
        <v/>
      </c>
      <c r="AE30" s="44" t="str">
        <f t="shared" si="7"/>
        <v/>
      </c>
      <c r="AF30" t="s">
        <v>136</v>
      </c>
      <c r="AG30" t="s">
        <v>136</v>
      </c>
      <c r="AH30" t="s">
        <v>136</v>
      </c>
      <c r="AI30" t="s">
        <v>288</v>
      </c>
      <c r="AJ30" t="s">
        <v>289</v>
      </c>
      <c r="AK30" t="s">
        <v>290</v>
      </c>
      <c r="AL30" t="s">
        <v>291</v>
      </c>
      <c r="AM30" t="s">
        <v>58</v>
      </c>
      <c r="AN30" s="63" t="str">
        <f>IFERROR(E30*(1+IF(AM30="Apartment",Data_Summary!$C$3,0)),"")</f>
        <v/>
      </c>
    </row>
    <row r="31" spans="1:40" ht="15" customHeight="1">
      <c r="A31">
        <f>IF(AND(ISNUMBER(B31),B31&gt;0,ISNUMBER(AB31),AB31&gt;0,J31&gt;=Data_Summary!$C$1),1,0)</f>
        <v>0</v>
      </c>
      <c r="B31" s="57"/>
      <c r="C31" s="26">
        <f t="shared" si="0"/>
        <v>1280</v>
      </c>
      <c r="D31">
        <f>IF(ISNUMBER(C31),C31-U31*Data_Summary!$C$2,"")</f>
        <v>1280</v>
      </c>
      <c r="E31" s="58" t="str">
        <f t="shared" si="1"/>
        <v/>
      </c>
      <c r="F31" s="44" t="str">
        <f t="shared" si="2"/>
        <v/>
      </c>
      <c r="G31" t="str">
        <f t="shared" si="3"/>
        <v>1</v>
      </c>
      <c r="H31" t="str">
        <f t="shared" si="4"/>
        <v>1</v>
      </c>
      <c r="I31">
        <f t="shared" si="5"/>
        <v>0</v>
      </c>
      <c r="J31" s="53">
        <v>45860</v>
      </c>
      <c r="K31" t="s">
        <v>54</v>
      </c>
      <c r="L31" t="s">
        <v>55</v>
      </c>
      <c r="M31" t="s">
        <v>126</v>
      </c>
      <c r="N31" t="s">
        <v>56</v>
      </c>
      <c r="O31" t="s">
        <v>292</v>
      </c>
      <c r="P31" t="s">
        <v>293</v>
      </c>
      <c r="Q31" t="s">
        <v>159</v>
      </c>
      <c r="R31">
        <v>1</v>
      </c>
      <c r="S31" s="32"/>
      <c r="U31">
        <v>0</v>
      </c>
      <c r="V31" t="s">
        <v>136</v>
      </c>
      <c r="W31" t="s">
        <v>144</v>
      </c>
      <c r="X31" t="s">
        <v>133</v>
      </c>
      <c r="Z31" t="s">
        <v>57</v>
      </c>
      <c r="AA31" t="s">
        <v>135</v>
      </c>
      <c r="AB31" s="54">
        <v>1280</v>
      </c>
      <c r="AC31" s="54">
        <v>1280</v>
      </c>
      <c r="AD31" s="44" t="str">
        <f t="shared" si="6"/>
        <v/>
      </c>
      <c r="AE31" s="44" t="str">
        <f t="shared" si="7"/>
        <v/>
      </c>
      <c r="AF31" t="s">
        <v>136</v>
      </c>
      <c r="AG31" t="s">
        <v>136</v>
      </c>
      <c r="AH31" t="s">
        <v>136</v>
      </c>
      <c r="AI31" t="s">
        <v>294</v>
      </c>
      <c r="AJ31" t="s">
        <v>295</v>
      </c>
      <c r="AK31" t="s">
        <v>296</v>
      </c>
      <c r="AL31" t="s">
        <v>291</v>
      </c>
      <c r="AM31" t="s">
        <v>58</v>
      </c>
      <c r="AN31" s="63" t="str">
        <f>IFERROR(E31*(1+IF(AM31="Apartment",Data_Summary!$C$3,0)),"")</f>
        <v/>
      </c>
    </row>
    <row r="32" spans="1:40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</sheetData>
  <autoFilter ref="A1:AN31" xr:uid="{00000000-0009-0000-0000-000003000000}"/>
  <hyperlinks>
    <hyperlink ref="AK16" r:id="rId1" xr:uid="{6CD4E060-6FF4-424E-A893-44F9C4120527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107CB-1039-427D-BD72-3ED8976C9E97}">
  <dimension ref="A1:AN40"/>
  <sheetViews>
    <sheetView showGridLines="0" tabSelected="1" zoomScaleNormal="100" workbookViewId="0">
      <pane ySplit="1" topLeftCell="A3" activePane="bottomLeft" state="frozen"/>
      <selection pane="bottomLeft" activeCell="A3" sqref="A3"/>
    </sheetView>
  </sheetViews>
  <sheetFormatPr defaultColWidth="8.7109375" defaultRowHeight="12.75"/>
  <cols>
    <col min="2" max="3" width="7" customWidth="1"/>
    <col min="5" max="5" width="8" customWidth="1"/>
    <col min="6" max="6" width="9" customWidth="1"/>
    <col min="10" max="10" width="11" customWidth="1"/>
    <col min="11" max="11" width="16" customWidth="1"/>
    <col min="12" max="12" width="17" customWidth="1"/>
    <col min="13" max="14" width="18" customWidth="1"/>
    <col min="15" max="15" width="8" customWidth="1"/>
    <col min="16" max="16" width="22" customWidth="1"/>
    <col min="17" max="18" width="6" customWidth="1"/>
    <col min="19" max="19" width="15.28515625" bestFit="1" customWidth="1"/>
    <col min="20" max="20" width="13" customWidth="1"/>
    <col min="21" max="21" width="11.85546875" bestFit="1" customWidth="1"/>
    <col min="25" max="25" width="8" customWidth="1"/>
    <col min="26" max="26" width="16" customWidth="1"/>
    <col min="27" max="27" width="13.7109375" bestFit="1" customWidth="1"/>
    <col min="28" max="29" width="10" customWidth="1"/>
    <col min="30" max="31" width="8" customWidth="1"/>
    <col min="37" max="37" width="28" customWidth="1"/>
    <col min="38" max="38" width="38" customWidth="1"/>
    <col min="39" max="40" width="12" customWidth="1"/>
  </cols>
  <sheetData>
    <row r="1" spans="1:40" ht="27.75" customHeight="1">
      <c r="A1" s="31" t="s">
        <v>88</v>
      </c>
      <c r="B1" s="31" t="s">
        <v>89</v>
      </c>
      <c r="C1" s="31" t="s">
        <v>90</v>
      </c>
      <c r="D1" s="31" t="s">
        <v>91</v>
      </c>
      <c r="E1" s="31" t="s">
        <v>92</v>
      </c>
      <c r="F1" s="31" t="s">
        <v>93</v>
      </c>
      <c r="G1" s="31" t="s">
        <v>94</v>
      </c>
      <c r="H1" s="31" t="s">
        <v>95</v>
      </c>
      <c r="I1" s="31" t="s">
        <v>96</v>
      </c>
      <c r="J1" s="31" t="s">
        <v>97</v>
      </c>
      <c r="K1" s="31" t="s">
        <v>98</v>
      </c>
      <c r="L1" s="31" t="s">
        <v>99</v>
      </c>
      <c r="M1" s="31" t="s">
        <v>100</v>
      </c>
      <c r="N1" s="31" t="s">
        <v>49</v>
      </c>
      <c r="O1" s="31" t="s">
        <v>101</v>
      </c>
      <c r="P1" s="31" t="s">
        <v>102</v>
      </c>
      <c r="Q1" s="31" t="s">
        <v>73</v>
      </c>
      <c r="R1" s="31" t="s">
        <v>103</v>
      </c>
      <c r="S1" s="31" t="s">
        <v>104</v>
      </c>
      <c r="T1" s="31" t="s">
        <v>105</v>
      </c>
      <c r="U1" s="31" t="s">
        <v>106</v>
      </c>
      <c r="V1" s="31" t="s">
        <v>107</v>
      </c>
      <c r="W1" s="31" t="s">
        <v>108</v>
      </c>
      <c r="X1" s="31" t="s">
        <v>109</v>
      </c>
      <c r="Y1" s="31" t="s">
        <v>110</v>
      </c>
      <c r="Z1" s="31" t="s">
        <v>111</v>
      </c>
      <c r="AA1" s="31" t="s">
        <v>112</v>
      </c>
      <c r="AB1" s="31" t="s">
        <v>113</v>
      </c>
      <c r="AC1" s="31" t="s">
        <v>114</v>
      </c>
      <c r="AD1" s="31" t="s">
        <v>115</v>
      </c>
      <c r="AE1" s="31" t="s">
        <v>116</v>
      </c>
      <c r="AF1" s="31" t="s">
        <v>117</v>
      </c>
      <c r="AG1" s="31" t="s">
        <v>118</v>
      </c>
      <c r="AH1" s="31" t="s">
        <v>119</v>
      </c>
      <c r="AI1" s="31" t="s">
        <v>120</v>
      </c>
      <c r="AJ1" s="31" t="s">
        <v>121</v>
      </c>
      <c r="AK1" s="31" t="s">
        <v>122</v>
      </c>
      <c r="AL1" s="31" t="s">
        <v>123</v>
      </c>
      <c r="AM1" s="31" t="s">
        <v>124</v>
      </c>
      <c r="AN1" s="64" t="s">
        <v>125</v>
      </c>
    </row>
    <row r="2" spans="1:40" ht="15" customHeight="1">
      <c r="A2">
        <f>IF(AND(ISNUMBER(B2),B2&gt;0,ISNUMBER(AB2),AB2&gt;0,J2&gt;=Data_Summary!$C$1),1,0)</f>
        <v>1</v>
      </c>
      <c r="B2" s="51">
        <v>694</v>
      </c>
      <c r="C2" s="26">
        <f t="shared" ref="C2:C31" si="0">IF(ISNUMBER(AB2),AB2,"")</f>
        <v>2450</v>
      </c>
      <c r="D2">
        <f>IF(ISNUMBER(C2),C2-U2*Data_Summary!$C$2,"")</f>
        <v>2350</v>
      </c>
      <c r="E2" s="52">
        <f t="shared" ref="E2:E31" si="1">IFERROR(C2/B2,"")</f>
        <v>3.5302593659942363</v>
      </c>
      <c r="F2" s="44">
        <f t="shared" ref="F2:F31" si="2">IFERROR(D2/B2,"")</f>
        <v>3.3861671469740635</v>
      </c>
      <c r="G2" t="str">
        <f t="shared" ref="G2:G31" si="3">Q2</f>
        <v>2</v>
      </c>
      <c r="H2" t="str">
        <f t="shared" ref="H2:H31" si="4">IFERROR(LEFT(G2,1),"")</f>
        <v>2</v>
      </c>
      <c r="I2">
        <f t="shared" ref="I2:I31" si="5">IF(LEN(G2)&gt;1,1,0)</f>
        <v>0</v>
      </c>
      <c r="J2" s="53">
        <v>46136</v>
      </c>
      <c r="K2" t="s">
        <v>54</v>
      </c>
      <c r="L2" t="s">
        <v>55</v>
      </c>
      <c r="M2" t="s">
        <v>126</v>
      </c>
      <c r="N2" t="s">
        <v>56</v>
      </c>
      <c r="O2" t="s">
        <v>127</v>
      </c>
      <c r="P2" t="s">
        <v>128</v>
      </c>
      <c r="Q2" t="s">
        <v>129</v>
      </c>
      <c r="R2">
        <v>2</v>
      </c>
      <c r="S2" s="32">
        <v>694</v>
      </c>
      <c r="T2" t="s">
        <v>130</v>
      </c>
      <c r="U2">
        <v>1</v>
      </c>
      <c r="V2" t="s">
        <v>131</v>
      </c>
      <c r="W2" t="s">
        <v>132</v>
      </c>
      <c r="X2" t="s">
        <v>133</v>
      </c>
      <c r="Y2" t="s">
        <v>134</v>
      </c>
      <c r="Z2" t="s">
        <v>57</v>
      </c>
      <c r="AA2" t="s">
        <v>135</v>
      </c>
      <c r="AB2" s="54">
        <v>2450</v>
      </c>
      <c r="AC2" s="54">
        <v>2450</v>
      </c>
      <c r="AD2" s="44">
        <f t="shared" ref="AD2:AD31" si="6">IFERROR(AB2/B2,"")</f>
        <v>3.5302593659942363</v>
      </c>
      <c r="AE2" s="44">
        <f t="shared" ref="AE2:AE31" si="7">IFERROR(AC2/B2,"")</f>
        <v>3.5302593659942363</v>
      </c>
      <c r="AF2" t="s">
        <v>136</v>
      </c>
      <c r="AG2" t="s">
        <v>136</v>
      </c>
      <c r="AH2" t="s">
        <v>136</v>
      </c>
      <c r="AI2" t="s">
        <v>137</v>
      </c>
      <c r="AJ2" t="s">
        <v>138</v>
      </c>
      <c r="AK2" t="s">
        <v>139</v>
      </c>
      <c r="AL2" t="s">
        <v>140</v>
      </c>
      <c r="AM2" t="s">
        <v>58</v>
      </c>
      <c r="AN2" s="63">
        <f>IFERROR(E2*(1+IF(AM2="Apartment",Data_Summary!$C$3,0)),"")</f>
        <v>3.5302593659942363</v>
      </c>
    </row>
    <row r="3" spans="1:40" ht="15" customHeight="1">
      <c r="F3" s="44"/>
      <c r="J3" s="53"/>
      <c r="S3" s="32"/>
      <c r="AB3" s="54"/>
      <c r="AC3" s="54"/>
      <c r="AD3" s="44"/>
      <c r="AE3" s="44"/>
      <c r="AN3" s="63"/>
    </row>
    <row r="4" spans="1:40" ht="15" customHeight="1">
      <c r="F4" s="44"/>
      <c r="J4" s="53"/>
      <c r="S4" s="32"/>
      <c r="AB4" s="54"/>
      <c r="AC4" s="54"/>
      <c r="AD4" s="44"/>
      <c r="AE4" s="44"/>
      <c r="AN4" s="63"/>
    </row>
    <row r="5" spans="1:40" ht="15" customHeight="1">
      <c r="F5" s="44"/>
      <c r="J5" s="53"/>
      <c r="S5" s="32"/>
      <c r="AB5" s="54"/>
      <c r="AC5" s="54"/>
      <c r="AD5" s="44"/>
      <c r="AE5" s="44"/>
      <c r="AN5" s="63"/>
    </row>
    <row r="6" spans="1:40" ht="15" customHeight="1">
      <c r="F6" s="44"/>
      <c r="J6" s="53"/>
      <c r="S6" s="32"/>
      <c r="AB6" s="54"/>
      <c r="AC6" s="54"/>
      <c r="AD6" s="44"/>
      <c r="AE6" s="44"/>
      <c r="AN6" s="63"/>
    </row>
    <row r="7" spans="1:40" ht="15" customHeight="1">
      <c r="F7" s="44"/>
      <c r="J7" s="53"/>
      <c r="S7" s="32"/>
      <c r="AB7" s="54"/>
      <c r="AC7" s="54"/>
      <c r="AD7" s="44"/>
      <c r="AE7" s="44"/>
      <c r="AN7" s="63"/>
    </row>
    <row r="8" spans="1:40" ht="15" customHeight="1">
      <c r="F8" s="44"/>
      <c r="J8" s="53"/>
      <c r="S8" s="32"/>
      <c r="AB8" s="54"/>
      <c r="AC8" s="54"/>
      <c r="AD8" s="44"/>
      <c r="AE8" s="44"/>
      <c r="AN8" s="63"/>
    </row>
    <row r="9" spans="1:40" ht="15" customHeight="1">
      <c r="F9" s="44"/>
      <c r="J9" s="53"/>
      <c r="S9" s="32"/>
      <c r="AB9" s="54"/>
      <c r="AC9" s="54"/>
      <c r="AD9" s="44"/>
      <c r="AE9" s="44"/>
      <c r="AN9" s="63"/>
    </row>
    <row r="10" spans="1:40" ht="15" customHeight="1">
      <c r="F10" s="44"/>
      <c r="J10" s="53"/>
      <c r="S10" s="32"/>
      <c r="AB10" s="54"/>
      <c r="AC10" s="54"/>
      <c r="AD10" s="44"/>
      <c r="AE10" s="44"/>
      <c r="AN10" s="63"/>
    </row>
    <row r="11" spans="1:40" ht="15" customHeight="1">
      <c r="F11" s="44"/>
      <c r="J11" s="53"/>
      <c r="S11" s="32"/>
      <c r="AB11" s="54"/>
      <c r="AC11" s="54"/>
      <c r="AD11" s="44"/>
      <c r="AE11" s="44"/>
      <c r="AN11" s="63"/>
    </row>
    <row r="12" spans="1:40" ht="15" customHeight="1">
      <c r="F12" s="44"/>
      <c r="J12" s="53"/>
      <c r="S12" s="32"/>
      <c r="AB12" s="54"/>
      <c r="AC12" s="54"/>
      <c r="AD12" s="44"/>
      <c r="AE12" s="44"/>
      <c r="AN12" s="63"/>
    </row>
    <row r="13" spans="1:40" ht="15" customHeight="1">
      <c r="F13" s="44"/>
      <c r="J13" s="53"/>
      <c r="S13" s="32"/>
      <c r="AB13" s="54"/>
      <c r="AC13" s="54"/>
      <c r="AD13" s="44"/>
      <c r="AE13" s="44"/>
      <c r="AN13" s="63"/>
    </row>
    <row r="14" spans="1:40" ht="15" customHeight="1">
      <c r="F14" s="44"/>
      <c r="J14" s="53"/>
      <c r="S14" s="32"/>
      <c r="AB14" s="54"/>
      <c r="AC14" s="54"/>
      <c r="AD14" s="44"/>
      <c r="AE14" s="44"/>
      <c r="AN14" s="63"/>
    </row>
    <row r="15" spans="1:40" ht="15" customHeight="1">
      <c r="F15" s="44"/>
      <c r="J15" s="53"/>
      <c r="S15" s="32"/>
      <c r="AB15" s="54"/>
      <c r="AC15" s="54"/>
      <c r="AD15" s="44"/>
      <c r="AE15" s="44"/>
      <c r="AN15" s="63"/>
    </row>
    <row r="16" spans="1:40" ht="15" customHeight="1">
      <c r="F16" s="44"/>
      <c r="J16" s="53"/>
      <c r="S16" s="32"/>
      <c r="AB16" s="54"/>
      <c r="AC16" s="54"/>
      <c r="AD16" s="44"/>
      <c r="AE16" s="44"/>
      <c r="AK16" s="61"/>
      <c r="AN16" s="63"/>
    </row>
    <row r="17" spans="6:40" ht="15" customHeight="1">
      <c r="F17" s="44"/>
      <c r="J17" s="53"/>
      <c r="S17" s="32"/>
      <c r="AB17" s="54"/>
      <c r="AC17" s="54"/>
      <c r="AD17" s="44"/>
      <c r="AE17" s="44"/>
      <c r="AN17" s="63"/>
    </row>
    <row r="18" spans="6:40" ht="15" customHeight="1">
      <c r="F18" s="44"/>
      <c r="J18" s="53"/>
      <c r="S18" s="32"/>
      <c r="AB18" s="54"/>
      <c r="AC18" s="54"/>
      <c r="AD18" s="44"/>
      <c r="AE18" s="44"/>
      <c r="AN18" s="63"/>
    </row>
    <row r="19" spans="6:40" ht="15" customHeight="1">
      <c r="F19" s="44"/>
      <c r="J19" s="53"/>
      <c r="S19" s="32"/>
      <c r="AB19" s="54"/>
      <c r="AC19" s="54"/>
      <c r="AD19" s="44"/>
      <c r="AE19" s="44"/>
      <c r="AN19" s="63"/>
    </row>
    <row r="20" spans="6:40" ht="15" customHeight="1">
      <c r="F20" s="44"/>
      <c r="J20" s="53"/>
      <c r="S20" s="32"/>
      <c r="AB20" s="54"/>
      <c r="AC20" s="54"/>
      <c r="AD20" s="44"/>
      <c r="AE20" s="44"/>
      <c r="AN20" s="63"/>
    </row>
    <row r="21" spans="6:40" ht="15" customHeight="1">
      <c r="F21" s="44"/>
      <c r="J21" s="53"/>
      <c r="S21" s="32"/>
      <c r="AB21" s="54"/>
      <c r="AC21" s="54"/>
      <c r="AD21" s="44"/>
      <c r="AE21" s="44"/>
      <c r="AN21" s="63"/>
    </row>
    <row r="22" spans="6:40" ht="15" customHeight="1">
      <c r="F22" s="44"/>
      <c r="J22" s="53"/>
      <c r="S22" s="32"/>
      <c r="AB22" s="54"/>
      <c r="AC22" s="54"/>
      <c r="AD22" s="44"/>
      <c r="AE22" s="44"/>
      <c r="AN22" s="63"/>
    </row>
    <row r="23" spans="6:40" ht="15" customHeight="1">
      <c r="F23" s="44"/>
      <c r="J23" s="53"/>
      <c r="S23" s="32"/>
      <c r="AB23" s="54"/>
      <c r="AC23" s="54"/>
      <c r="AD23" s="44"/>
      <c r="AE23" s="44"/>
      <c r="AN23" s="63"/>
    </row>
    <row r="24" spans="6:40" ht="15" customHeight="1">
      <c r="F24" s="44"/>
      <c r="J24" s="53"/>
      <c r="S24" s="32"/>
      <c r="AB24" s="54"/>
      <c r="AC24" s="54"/>
      <c r="AD24" s="44"/>
      <c r="AE24" s="44"/>
      <c r="AN24" s="63"/>
    </row>
    <row r="25" spans="6:40" ht="15" customHeight="1">
      <c r="F25" s="44"/>
      <c r="J25" s="53"/>
      <c r="S25" s="32"/>
      <c r="AB25" s="54"/>
      <c r="AC25" s="54"/>
      <c r="AD25" s="44"/>
      <c r="AE25" s="44"/>
      <c r="AN25" s="63"/>
    </row>
    <row r="26" spans="6:40" ht="15" customHeight="1">
      <c r="F26" s="44"/>
      <c r="J26" s="53"/>
      <c r="S26" s="32"/>
      <c r="AB26" s="54"/>
      <c r="AC26" s="54"/>
      <c r="AD26" s="44"/>
      <c r="AE26" s="44"/>
      <c r="AN26" s="63"/>
    </row>
    <row r="27" spans="6:40" ht="15" customHeight="1">
      <c r="F27" s="44"/>
      <c r="J27" s="53"/>
      <c r="S27" s="32"/>
      <c r="AB27" s="32"/>
      <c r="AC27" s="54"/>
      <c r="AD27" s="44"/>
      <c r="AE27" s="44"/>
      <c r="AN27" s="63"/>
    </row>
    <row r="28" spans="6:40" ht="15" customHeight="1">
      <c r="F28" s="44"/>
      <c r="J28" s="53"/>
      <c r="S28" s="32"/>
      <c r="AB28" s="32"/>
      <c r="AC28" s="54"/>
      <c r="AD28" s="44"/>
      <c r="AE28" s="44"/>
      <c r="AN28" s="63"/>
    </row>
    <row r="29" spans="6:40" ht="15" customHeight="1">
      <c r="F29" s="44"/>
      <c r="J29" s="53"/>
      <c r="S29" s="32"/>
      <c r="AB29" s="32"/>
      <c r="AC29" s="54"/>
      <c r="AD29" s="44"/>
      <c r="AE29" s="44"/>
      <c r="AN29" s="63"/>
    </row>
    <row r="30" spans="6:40" ht="15" customHeight="1">
      <c r="F30" s="44"/>
      <c r="J30" s="53"/>
      <c r="S30" s="32"/>
      <c r="AB30" s="54"/>
      <c r="AC30" s="54"/>
      <c r="AD30" s="44"/>
      <c r="AE30" s="44"/>
      <c r="AN30" s="63"/>
    </row>
    <row r="31" spans="6:40" ht="15" customHeight="1">
      <c r="F31" s="44"/>
      <c r="J31" s="53"/>
      <c r="S31" s="32"/>
      <c r="AB31" s="54"/>
      <c r="AC31" s="54"/>
      <c r="AD31" s="44"/>
      <c r="AE31" s="44"/>
      <c r="AN31" s="63"/>
    </row>
    <row r="32" spans="6:40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</sheetData>
  <autoFilter ref="A1:AN3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zoomScaleNormal="100" workbookViewId="0"/>
  </sheetViews>
  <sheetFormatPr defaultColWidth="8.7109375" defaultRowHeight="12.75"/>
  <cols>
    <col min="1" max="1" width="18" customWidth="1"/>
    <col min="2" max="2" width="20" customWidth="1"/>
    <col min="3" max="3" width="22" customWidth="1"/>
    <col min="4" max="4" width="12" customWidth="1"/>
    <col min="5" max="6" width="6" customWidth="1"/>
    <col min="7" max="7" width="8" customWidth="1"/>
    <col min="8" max="8" width="10" customWidth="1"/>
  </cols>
  <sheetData>
    <row r="1" spans="1:8" ht="15" customHeight="1">
      <c r="A1" s="45" t="s">
        <v>98</v>
      </c>
      <c r="B1" s="45" t="s">
        <v>99</v>
      </c>
      <c r="C1" s="45" t="s">
        <v>100</v>
      </c>
      <c r="D1" s="45" t="s">
        <v>297</v>
      </c>
      <c r="E1" s="45" t="s">
        <v>73</v>
      </c>
      <c r="F1" s="45" t="s">
        <v>103</v>
      </c>
      <c r="G1" s="45" t="s">
        <v>298</v>
      </c>
      <c r="H1" s="45" t="s">
        <v>110</v>
      </c>
    </row>
    <row r="2" spans="1:8" ht="15" customHeight="1">
      <c r="A2" t="s">
        <v>54</v>
      </c>
      <c r="B2" t="s">
        <v>55</v>
      </c>
      <c r="C2" t="s">
        <v>126</v>
      </c>
      <c r="D2" t="s">
        <v>299</v>
      </c>
      <c r="E2">
        <v>1</v>
      </c>
      <c r="F2">
        <v>1</v>
      </c>
      <c r="G2" s="59">
        <v>556</v>
      </c>
      <c r="H2" t="s">
        <v>216</v>
      </c>
    </row>
    <row r="3" spans="1:8" ht="15" customHeight="1">
      <c r="A3" t="s">
        <v>54</v>
      </c>
      <c r="B3" t="s">
        <v>55</v>
      </c>
      <c r="C3" t="s">
        <v>126</v>
      </c>
      <c r="D3" t="s">
        <v>300</v>
      </c>
      <c r="E3">
        <v>1</v>
      </c>
      <c r="F3">
        <v>1</v>
      </c>
      <c r="G3" s="59">
        <v>617</v>
      </c>
      <c r="H3" t="s">
        <v>160</v>
      </c>
    </row>
    <row r="4" spans="1:8" ht="15" customHeight="1">
      <c r="A4" t="s">
        <v>54</v>
      </c>
      <c r="B4" t="s">
        <v>55</v>
      </c>
      <c r="C4" t="s">
        <v>126</v>
      </c>
      <c r="D4" t="s">
        <v>301</v>
      </c>
      <c r="E4">
        <v>1</v>
      </c>
      <c r="F4">
        <v>1</v>
      </c>
      <c r="G4" s="59">
        <v>583</v>
      </c>
      <c r="H4" t="s">
        <v>145</v>
      </c>
    </row>
    <row r="5" spans="1:8" ht="15" customHeight="1">
      <c r="A5" t="s">
        <v>54</v>
      </c>
      <c r="B5" t="s">
        <v>55</v>
      </c>
      <c r="C5" t="s">
        <v>126</v>
      </c>
      <c r="D5" t="s">
        <v>302</v>
      </c>
      <c r="E5">
        <v>1</v>
      </c>
      <c r="F5">
        <v>1</v>
      </c>
      <c r="G5" s="59">
        <v>588</v>
      </c>
      <c r="H5" t="s">
        <v>185</v>
      </c>
    </row>
    <row r="6" spans="1:8" ht="15" customHeight="1">
      <c r="A6" t="s">
        <v>54</v>
      </c>
      <c r="B6" t="s">
        <v>55</v>
      </c>
      <c r="C6" t="s">
        <v>126</v>
      </c>
      <c r="D6" t="s">
        <v>303</v>
      </c>
      <c r="E6">
        <v>1</v>
      </c>
      <c r="F6">
        <v>1</v>
      </c>
      <c r="G6" s="59">
        <v>663</v>
      </c>
      <c r="H6" t="s">
        <v>153</v>
      </c>
    </row>
    <row r="7" spans="1:8" ht="15" customHeight="1">
      <c r="A7" t="s">
        <v>54</v>
      </c>
      <c r="B7" t="s">
        <v>55</v>
      </c>
      <c r="C7" t="s">
        <v>126</v>
      </c>
      <c r="D7" t="s">
        <v>304</v>
      </c>
      <c r="E7">
        <v>1</v>
      </c>
      <c r="F7">
        <v>1</v>
      </c>
      <c r="G7" s="59">
        <v>694</v>
      </c>
      <c r="H7" t="s">
        <v>145</v>
      </c>
    </row>
    <row r="8" spans="1:8" ht="15" customHeight="1">
      <c r="A8" t="s">
        <v>54</v>
      </c>
      <c r="B8" t="s">
        <v>55</v>
      </c>
      <c r="C8" t="s">
        <v>126</v>
      </c>
      <c r="D8" t="s">
        <v>305</v>
      </c>
      <c r="E8">
        <v>1</v>
      </c>
      <c r="F8">
        <v>2</v>
      </c>
      <c r="G8" s="59">
        <v>751</v>
      </c>
      <c r="H8" t="s">
        <v>153</v>
      </c>
    </row>
    <row r="9" spans="1:8" ht="15" customHeight="1">
      <c r="A9" t="s">
        <v>54</v>
      </c>
      <c r="B9" t="s">
        <v>55</v>
      </c>
      <c r="C9" t="s">
        <v>126</v>
      </c>
      <c r="D9" t="s">
        <v>306</v>
      </c>
      <c r="E9">
        <v>2</v>
      </c>
      <c r="F9">
        <v>2</v>
      </c>
      <c r="G9" s="59">
        <v>694</v>
      </c>
      <c r="H9" t="s">
        <v>307</v>
      </c>
    </row>
    <row r="10" spans="1:8" ht="15" customHeight="1">
      <c r="A10" t="s">
        <v>54</v>
      </c>
      <c r="B10" t="s">
        <v>55</v>
      </c>
      <c r="C10" t="s">
        <v>126</v>
      </c>
      <c r="D10" t="s">
        <v>308</v>
      </c>
      <c r="E10">
        <v>2</v>
      </c>
      <c r="F10">
        <v>2</v>
      </c>
      <c r="G10" s="59">
        <v>715</v>
      </c>
      <c r="H10" t="s">
        <v>309</v>
      </c>
    </row>
    <row r="11" spans="1:8" ht="15" customHeight="1">
      <c r="A11" t="s">
        <v>54</v>
      </c>
      <c r="B11" t="s">
        <v>55</v>
      </c>
      <c r="C11" t="s">
        <v>126</v>
      </c>
      <c r="D11" t="s">
        <v>310</v>
      </c>
      <c r="E11">
        <v>2</v>
      </c>
      <c r="F11">
        <v>2</v>
      </c>
      <c r="G11" s="59">
        <v>788</v>
      </c>
      <c r="H11" t="s">
        <v>153</v>
      </c>
    </row>
    <row r="12" spans="1:8" ht="15" customHeight="1">
      <c r="A12" t="s">
        <v>54</v>
      </c>
      <c r="B12" t="s">
        <v>55</v>
      </c>
      <c r="C12" t="s">
        <v>126</v>
      </c>
      <c r="D12" t="s">
        <v>311</v>
      </c>
      <c r="E12">
        <v>2</v>
      </c>
      <c r="F12">
        <v>2</v>
      </c>
      <c r="G12" s="59">
        <v>797</v>
      </c>
      <c r="H12" t="s">
        <v>153</v>
      </c>
    </row>
    <row r="13" spans="1:8" ht="15" customHeight="1">
      <c r="A13" t="s">
        <v>54</v>
      </c>
      <c r="B13" t="s">
        <v>55</v>
      </c>
      <c r="C13" t="s">
        <v>126</v>
      </c>
      <c r="D13" t="s">
        <v>312</v>
      </c>
      <c r="E13">
        <v>2</v>
      </c>
      <c r="F13">
        <v>2</v>
      </c>
      <c r="G13" s="59">
        <v>816</v>
      </c>
      <c r="H13" t="s">
        <v>160</v>
      </c>
    </row>
    <row r="14" spans="1:8" ht="15" customHeight="1">
      <c r="A14" t="s">
        <v>54</v>
      </c>
      <c r="B14" t="s">
        <v>55</v>
      </c>
      <c r="C14" t="s">
        <v>126</v>
      </c>
      <c r="D14" t="s">
        <v>313</v>
      </c>
      <c r="E14">
        <v>3</v>
      </c>
      <c r="F14">
        <v>2</v>
      </c>
      <c r="G14" s="59">
        <v>988</v>
      </c>
      <c r="H14" t="s">
        <v>185</v>
      </c>
    </row>
    <row r="15" spans="1:8" ht="15" customHeight="1"/>
    <row r="16" spans="1:8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</sheetData>
  <autoFilter ref="A1:H1" xr:uid="{00000000-0001-0000-04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Output</vt:lpstr>
      <vt:lpstr>Subject &amp; Conclusion</vt:lpstr>
      <vt:lpstr>Building Summary</vt:lpstr>
      <vt:lpstr>Data_Summary</vt:lpstr>
      <vt:lpstr>RD Condos</vt:lpstr>
      <vt:lpstr>RD Apartments</vt:lpstr>
      <vt:lpstr>Floor Plans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A1 Arkfield Admin</cp:lastModifiedBy>
  <cp:revision>0</cp:revision>
  <dcterms:created xsi:type="dcterms:W3CDTF">2026-06-04T16:07:41Z</dcterms:created>
  <dcterms:modified xsi:type="dcterms:W3CDTF">2026-06-15T19:12:00Z</dcterms:modified>
  <cp:category/>
  <dc:language>en-US</dc:language>
</cp:coreProperties>
</file>