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utput" sheetId="1" state="visible" r:id="rId1"/>
    <sheet name="Subject &amp; Conclusion" sheetId="2" state="visible" r:id="rId2"/>
    <sheet name="Building Summary" sheetId="3" state="visible" r:id="rId3"/>
    <sheet name="Data_Summary" sheetId="4" state="visible" r:id="rId4"/>
    <sheet name="RD Condos" sheetId="5" state="visible" r:id="rId5"/>
    <sheet name="RD Apartments" sheetId="6" state="visible" r:id="rId6"/>
    <sheet name="Floor Plans" sheetId="7" state="visible" r:id="rId7"/>
  </sheets>
  <definedNames>
    <definedName name="_xlnm._FilterDatabase" localSheetId="4" hidden="1">'RD Condos'!$A$1:$AO$50</definedName>
    <definedName name="_xlnm._FilterDatabase" localSheetId="5" hidden="1">'RD Apartments'!$A$1:$AO$3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\$#,##0"/>
    <numFmt numFmtId="166" formatCode="\$#,##0.00"/>
    <numFmt numFmtId="167" formatCode="0.0%"/>
    <numFmt numFmtId="168" formatCode="yyyy\-mm\-dd\ h:mm:ss"/>
    <numFmt numFmtId="169" formatCode="0.000"/>
    <numFmt numFmtId="170" formatCode="$#,##0"/>
    <numFmt numFmtId="171" formatCode="yyyy-mm-dd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595959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1B5E20"/>
      <sz val="10"/>
    </font>
    <font>
      <name val="Arial"/>
      <charset val="1"/>
      <family val="0"/>
      <b val="1"/>
      <color rgb="FF1B5E20"/>
      <sz val="11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006100"/>
      <sz val="10"/>
    </font>
    <font>
      <name val="Arial"/>
      <charset val="1"/>
      <family val="0"/>
      <color rgb="FF9C6500"/>
      <sz val="10"/>
    </font>
    <font>
      <name val="Arial"/>
      <charset val="1"/>
      <family val="0"/>
      <color rgb="FF9C0006"/>
      <sz val="10"/>
    </font>
    <font>
      <b val="1"/>
    </font>
    <font>
      <i val="1"/>
      <color rgb="00555555"/>
      <sz val="9"/>
    </font>
  </fonts>
  <fills count="16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CECFF"/>
        <bgColor rgb="FFD9E1F2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CCECFF"/>
      </patternFill>
    </fill>
    <fill>
      <patternFill patternType="solid">
        <fgColor rgb="FFE2EFDA"/>
        <bgColor rgb="FFE8F5E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 wrapText="1"/>
    </xf>
    <xf numFmtId="0" fontId="0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10" fillId="7" borderId="0" applyAlignment="1" pivotButton="0" quotePrefix="0" xfId="0">
      <alignment horizontal="general" vertical="bottom"/>
    </xf>
    <xf numFmtId="166" fontId="11" fillId="8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5" fontId="11" fillId="8" borderId="0" applyAlignment="1" pivotButton="0" quotePrefix="0" xfId="0">
      <alignment horizontal="general" vertical="bottom"/>
    </xf>
    <xf numFmtId="0" fontId="8" fillId="9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8" borderId="0" applyAlignment="1" pivotButton="0" quotePrefix="0" xfId="0">
      <alignment horizontal="general" vertical="bottom"/>
    </xf>
    <xf numFmtId="0" fontId="14" fillId="10" borderId="0" applyAlignment="1" pivotButton="0" quotePrefix="0" xfId="0">
      <alignment horizontal="general" vertical="bottom"/>
    </xf>
    <xf numFmtId="0" fontId="15" fillId="11" borderId="0" applyAlignment="1" pivotButton="0" quotePrefix="0" xfId="0">
      <alignment horizontal="general" vertical="bottom"/>
    </xf>
    <xf numFmtId="166" fontId="0" fillId="8" borderId="0" applyAlignment="1" pivotButton="0" quotePrefix="0" xfId="0">
      <alignment horizontal="general" vertical="bottom"/>
    </xf>
    <xf numFmtId="166" fontId="0" fillId="10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bottom"/>
    </xf>
    <xf numFmtId="164" fontId="8" fillId="9" borderId="0" applyAlignment="1" pivotButton="0" quotePrefix="0" xfId="0">
      <alignment horizontal="general" vertical="bottom"/>
    </xf>
    <xf numFmtId="167" fontId="8" fillId="9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13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 wrapText="1"/>
    </xf>
    <xf numFmtId="0" fontId="16" fillId="0" borderId="0" pivotButton="0" quotePrefix="0" xfId="0"/>
    <xf numFmtId="169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170" fontId="0" fillId="0" borderId="0" pivotButton="0" quotePrefix="0" xfId="0"/>
    <xf numFmtId="0" fontId="0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10" fillId="7" borderId="0" applyAlignment="1" pivotButton="0" quotePrefix="0" xfId="0">
      <alignment horizontal="general" vertical="bottom"/>
    </xf>
    <xf numFmtId="166" fontId="11" fillId="8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5" fontId="11" fillId="8" borderId="0" applyAlignment="1" pivotButton="0" quotePrefix="0" xfId="0">
      <alignment horizontal="general" vertical="bottom"/>
    </xf>
    <xf numFmtId="0" fontId="8" fillId="9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8" borderId="0" applyAlignment="1" pivotButton="0" quotePrefix="0" xfId="0">
      <alignment horizontal="general" vertical="bottom"/>
    </xf>
    <xf numFmtId="0" fontId="14" fillId="10" borderId="0" applyAlignment="1" pivotButton="0" quotePrefix="0" xfId="0">
      <alignment horizontal="general" vertical="bottom"/>
    </xf>
    <xf numFmtId="0" fontId="15" fillId="11" borderId="0" applyAlignment="1" pivotButton="0" quotePrefix="0" xfId="0">
      <alignment horizontal="general" vertical="bottom"/>
    </xf>
    <xf numFmtId="166" fontId="0" fillId="8" borderId="0" applyAlignment="1" pivotButton="0" quotePrefix="0" xfId="0">
      <alignment horizontal="general" vertical="bottom"/>
    </xf>
    <xf numFmtId="166" fontId="0" fillId="10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bottom"/>
    </xf>
    <xf numFmtId="164" fontId="8" fillId="9" borderId="0" applyAlignment="1" pivotButton="0" quotePrefix="0" xfId="0">
      <alignment horizontal="general" vertical="bottom"/>
    </xf>
    <xf numFmtId="167" fontId="8" fillId="9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7" fillId="0" borderId="0" pivotButton="0" quotePrefix="0" xfId="0"/>
    <xf numFmtId="0" fontId="0" fillId="14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71" fontId="0" fillId="0" borderId="0" pivotButton="0" quotePrefix="0" xfId="0"/>
    <xf numFmtId="0" fontId="0" fillId="15" borderId="0" applyAlignment="1" pivotButton="0" quotePrefix="0" xfId="0">
      <alignment horizontal="general" vertical="bottom"/>
    </xf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E2EFDA"/>
      <rgbColor rgb="FF808080"/>
      <rgbColor rgb="FF9999FF"/>
      <rgbColor rgb="FF993366"/>
      <rgbColor rgb="FFFFFFCC"/>
      <rgbColor rgb="FFCCEC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6EFCE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1B5E2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A6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37" min="2" max="2"/>
    <col width="13" customWidth="1" style="37" min="3" max="4"/>
    <col width="13" customWidth="1" style="37" min="6" max="9"/>
    <col width="34" customWidth="1" style="37" min="11" max="11"/>
  </cols>
  <sheetData>
    <row r="1"/>
    <row r="2" ht="15" customHeight="1" s="38">
      <c r="B2" s="39" t="inlineStr">
        <is>
          <t>10 LOWER SPADINA CONDOS — RENTAL COMP SUMMARY (Condos view)</t>
        </is>
      </c>
      <c r="G2" s="37" t="inlineStr">
        <is>
          <t>Unit Mix Adjusted</t>
        </is>
      </c>
    </row>
    <row r="3" ht="26.85" customHeight="1" s="38">
      <c r="B3" s="40" t="inlineStr">
        <is>
          <t>Building</t>
        </is>
      </c>
      <c r="C3" s="40" t="inlineStr">
        <is>
          <t>First Occupancy</t>
        </is>
      </c>
      <c r="D3" s="40" t="inlineStr">
        <is>
          <t>Avg.Lease Date</t>
        </is>
      </c>
      <c r="E3" s="40" t="inlineStr">
        <is>
          <t>Vacancy</t>
        </is>
      </c>
      <c r="F3" s="40" t="inlineStr">
        <is>
          <t>Transaction Count</t>
        </is>
      </c>
      <c r="G3" s="40" t="inlineStr">
        <is>
          <t>Avg Suite Size</t>
        </is>
      </c>
      <c r="H3" s="40" t="inlineStr">
        <is>
          <t>Adj. Avg. Rent</t>
        </is>
      </c>
      <c r="I3" s="40" t="inlineStr">
        <is>
          <t>Avg. Net Rent PSF</t>
        </is>
      </c>
    </row>
    <row r="4"/>
    <row r="5" ht="15" customHeight="1" s="38">
      <c r="B5" s="41" t="inlineStr">
        <is>
          <t>Lower Spadina / CityPlace Waterfront</t>
        </is>
      </c>
    </row>
    <row r="6" ht="15" customHeight="1" s="38">
      <c r="B6" s="37" t="inlineStr">
        <is>
          <t>Concord Canada House</t>
        </is>
      </c>
      <c r="C6" s="37">
        <f>'Building Summary'!E4</f>
        <v/>
      </c>
      <c r="D6" s="42">
        <f>IFERROR(AVERAGEIFS('RD Condos'!$J:$J,'RD Condos'!$K:$K,$B6,'RD Condos'!$A:$A,1),"")</f>
        <v/>
      </c>
      <c r="F6" s="37">
        <f>'Building Summary'!J4</f>
        <v/>
      </c>
      <c r="G6" s="43">
        <f>'Building Summary'!K4</f>
        <v/>
      </c>
      <c r="H6" s="44">
        <f>IFERROR(AVERAGEIFS('RD Condos'!$D:$D,'RD Condos'!$K:$K,$B6,'RD Condos'!$A:$A,1),"")</f>
        <v/>
      </c>
      <c r="I6" s="45">
        <f>IFERROR(AVERAGEIFS('RD Condos'!$F:$F,'RD Condos'!$K:$K,$B6,'RD Condos'!$A:$A,1),"")</f>
        <v/>
      </c>
    </row>
    <row r="7" ht="15" customHeight="1" s="38">
      <c r="B7" s="37" t="inlineStr">
        <is>
          <t>Nobu Residences</t>
        </is>
      </c>
      <c r="C7" s="37">
        <f>'Building Summary'!E5</f>
        <v/>
      </c>
      <c r="D7" s="42">
        <f>IFERROR(AVERAGEIFS('RD Condos'!$J:$J,'RD Condos'!$K:$K,$B7,'RD Condos'!$A:$A,1),"")</f>
        <v/>
      </c>
      <c r="F7" s="37">
        <f>'Building Summary'!J5</f>
        <v/>
      </c>
      <c r="G7" s="43">
        <f>'Building Summary'!K5</f>
        <v/>
      </c>
      <c r="H7" s="44">
        <f>IFERROR(AVERAGEIFS('RD Condos'!$D:$D,'RD Condos'!$K:$K,$B7,'RD Condos'!$A:$A,1),"")</f>
        <v/>
      </c>
      <c r="I7" s="45">
        <f>IFERROR(AVERAGEIFS('RD Condos'!$F:$F,'RD Condos'!$K:$K,$B7,'RD Condos'!$A:$A,1),"")</f>
        <v/>
      </c>
    </row>
    <row r="8" ht="15" customHeight="1" s="38">
      <c r="B8" s="37" t="inlineStr">
        <is>
          <t>The Well</t>
        </is>
      </c>
      <c r="C8" s="37">
        <f>'Building Summary'!E6</f>
        <v/>
      </c>
      <c r="D8" s="42">
        <f>IFERROR(AVERAGEIFS('RD Condos'!$J:$J,'RD Condos'!$K:$K,$B8,'RD Condos'!$A:$A,1),"")</f>
        <v/>
      </c>
      <c r="F8" s="37">
        <f>'Building Summary'!J6</f>
        <v/>
      </c>
      <c r="G8" s="43">
        <f>'Building Summary'!K6</f>
        <v/>
      </c>
      <c r="H8" s="44">
        <f>IFERROR(AVERAGEIFS('RD Condos'!$D:$D,'RD Condos'!$K:$K,$B8,'RD Condos'!$A:$A,1),"")</f>
        <v/>
      </c>
      <c r="I8" s="45">
        <f>IFERROR(AVERAGEIFS('RD Condos'!$F:$F,'RD Condos'!$K:$K,$B8,'RD Condos'!$A:$A,1),"")</f>
        <v/>
      </c>
    </row>
    <row r="9" ht="15" customHeight="1" s="38">
      <c r="B9" s="37" t="inlineStr">
        <is>
          <t>Ten York</t>
        </is>
      </c>
      <c r="C9" s="37">
        <f>'Building Summary'!E7</f>
        <v/>
      </c>
      <c r="D9" s="42">
        <f>IFERROR(AVERAGEIFS('RD Condos'!$J:$J,'RD Condos'!$K:$K,$B9,'RD Condos'!$A:$A,1),"")</f>
        <v/>
      </c>
      <c r="F9" s="37">
        <f>'Building Summary'!J7</f>
        <v/>
      </c>
      <c r="G9" s="43">
        <f>'Building Summary'!K7</f>
        <v/>
      </c>
      <c r="H9" s="44">
        <f>IFERROR(AVERAGEIFS('RD Condos'!$D:$D,'RD Condos'!$K:$K,$B9,'RD Condos'!$A:$A,1),"")</f>
        <v/>
      </c>
      <c r="I9" s="45">
        <f>IFERROR(AVERAGEIFS('RD Condos'!$F:$F,'RD Condos'!$K:$K,$B9,'RD Condos'!$A:$A,1),"")</f>
        <v/>
      </c>
    </row>
    <row r="10" ht="15" customHeight="1" s="38">
      <c r="B10" s="37" t="inlineStr">
        <is>
          <t>Forward Condos</t>
        </is>
      </c>
      <c r="C10" s="37">
        <f>'Building Summary'!E8</f>
        <v/>
      </c>
      <c r="D10" s="42">
        <f>IFERROR(AVERAGEIFS('RD Condos'!$J:$J,'RD Condos'!$K:$K,$B10,'RD Condos'!$A:$A,1),"")</f>
        <v/>
      </c>
      <c r="F10" s="37">
        <f>'Building Summary'!J8</f>
        <v/>
      </c>
      <c r="G10" s="43">
        <f>'Building Summary'!K8</f>
        <v/>
      </c>
      <c r="H10" s="44">
        <f>IFERROR(AVERAGEIFS('RD Condos'!$D:$D,'RD Condos'!$K:$K,$B10,'RD Condos'!$A:$A,1),"")</f>
        <v/>
      </c>
      <c r="I10" s="45">
        <f>IFERROR(AVERAGEIFS('RD Condos'!$F:$F,'RD Condos'!$K:$K,$B10,'RD Condos'!$A:$A,1),"")</f>
        <v/>
      </c>
    </row>
    <row r="11" ht="15" customHeight="1" s="38">
      <c r="B11" s="37" t="inlineStr">
        <is>
          <t>Quartz/Spectra</t>
        </is>
      </c>
      <c r="C11" s="37">
        <f>'Building Summary'!E9</f>
        <v/>
      </c>
      <c r="D11" s="42">
        <f>IFERROR(AVERAGEIFS('RD Condos'!$J:$J,'RD Condos'!$K:$K,$B11,'RD Condos'!$A:$A,1),"")</f>
        <v/>
      </c>
      <c r="F11" s="37">
        <f>'Building Summary'!J9</f>
        <v/>
      </c>
      <c r="G11" s="43">
        <f>'Building Summary'!K9</f>
        <v/>
      </c>
      <c r="H11" s="44">
        <f>IFERROR(AVERAGEIFS('RD Condos'!$D:$D,'RD Condos'!$K:$K,$B11,'RD Condos'!$A:$A,1),"")</f>
        <v/>
      </c>
      <c r="I11" s="45">
        <f>IFERROR(AVERAGEIFS('RD Condos'!$F:$F,'RD Condos'!$K:$K,$B11,'RD Condos'!$A:$A,1),"")</f>
        <v/>
      </c>
    </row>
    <row r="12" ht="15" customHeight="1" s="38">
      <c r="B12" s="37" t="inlineStr">
        <is>
          <t>Library District</t>
        </is>
      </c>
      <c r="C12" s="37">
        <f>'Building Summary'!E10</f>
        <v/>
      </c>
      <c r="D12" s="42">
        <f>IFERROR(AVERAGEIFS('RD Condos'!$J:$J,'RD Condos'!$K:$K,$B12,'RD Condos'!$A:$A,1),"")</f>
        <v/>
      </c>
      <c r="F12" s="37">
        <f>'Building Summary'!J10</f>
        <v/>
      </c>
      <c r="G12" s="43">
        <f>'Building Summary'!K10</f>
        <v/>
      </c>
      <c r="H12" s="44">
        <f>IFERROR(AVERAGEIFS('RD Condos'!$D:$D,'RD Condos'!$K:$K,$B12,'RD Condos'!$A:$A,1),"")</f>
        <v/>
      </c>
      <c r="I12" s="45">
        <f>IFERROR(AVERAGEIFS('RD Condos'!$F:$F,'RD Condos'!$K:$K,$B12,'RD Condos'!$A:$A,1),"")</f>
        <v/>
      </c>
    </row>
    <row r="13" ht="15" customHeight="1" s="38">
      <c r="B13" s="37" t="inlineStr">
        <is>
          <t>N1 | N2 - CityPlace</t>
        </is>
      </c>
      <c r="C13" s="37">
        <f>'Building Summary'!E11</f>
        <v/>
      </c>
      <c r="D13" s="42">
        <f>IFERROR(AVERAGEIFS('RD Condos'!$J:$J,'RD Condos'!$K:$K,$B13,'RD Condos'!$A:$A,1),"")</f>
        <v/>
      </c>
      <c r="F13" s="37">
        <f>'Building Summary'!J11</f>
        <v/>
      </c>
      <c r="G13" s="43">
        <f>'Building Summary'!K11</f>
        <v/>
      </c>
      <c r="H13" s="44">
        <f>IFERROR(AVERAGEIFS('RD Condos'!$D:$D,'RD Condos'!$K:$K,$B13,'RD Condos'!$A:$A,1),"")</f>
        <v/>
      </c>
      <c r="I13" s="45">
        <f>IFERROR(AVERAGEIFS('RD Condos'!$F:$F,'RD Condos'!$K:$K,$B13,'RD Condos'!$A:$A,1),"")</f>
        <v/>
      </c>
    </row>
    <row r="14" ht="15" customHeight="1" s="38">
      <c r="B14" s="37" t="inlineStr">
        <is>
          <t>Aqua</t>
        </is>
      </c>
      <c r="C14" s="37">
        <f>'Building Summary'!E12</f>
        <v/>
      </c>
      <c r="D14" s="42">
        <f>IFERROR(AVERAGEIFS('RD Condos'!$J:$J,'RD Condos'!$K:$K,$B14,'RD Condos'!$A:$A,1),"")</f>
        <v/>
      </c>
      <c r="F14" s="37">
        <f>'Building Summary'!J12</f>
        <v/>
      </c>
      <c r="G14" s="43">
        <f>'Building Summary'!K12</f>
        <v/>
      </c>
      <c r="H14" s="44">
        <f>IFERROR(AVERAGEIFS('RD Condos'!$D:$D,'RD Condos'!$K:$K,$B14,'RD Condos'!$A:$A,1),"")</f>
        <v/>
      </c>
      <c r="I14" s="45">
        <f>IFERROR(AVERAGEIFS('RD Condos'!$F:$F,'RD Condos'!$K:$K,$B14,'RD Condos'!$A:$A,1),"")</f>
        <v/>
      </c>
    </row>
    <row r="15" ht="15" customHeight="1" s="38">
      <c r="B15" s="46" t="inlineStr">
        <is>
          <t>Average</t>
        </is>
      </c>
      <c r="F15" s="37">
        <f>COUNTIFS('RD Condos'!$A:$A,1)</f>
        <v/>
      </c>
      <c r="G15" s="43">
        <f>IFERROR(AVERAGEIFS('RD Condos'!$B:$B,'RD Condos'!$A:$A,1),"")</f>
        <v/>
      </c>
      <c r="H15" s="44">
        <f>IFERROR(AVERAGEIFS('RD Condos'!$D:$D,'RD Condos'!$A:$A,1),"")</f>
        <v/>
      </c>
      <c r="I15" s="45">
        <f>IFERROR(AVERAGEIFS('RD Condos'!$F:$F,'RD Condos'!$A:$A,1),"")</f>
        <v/>
      </c>
    </row>
    <row r="16" ht="15" customHeight="1" s="38">
      <c r="B16" s="37" t="inlineStr">
        <is>
          <t>PBR Premium</t>
        </is>
      </c>
      <c r="G16" s="43" t="n"/>
      <c r="H16" s="47">
        <f>Data_Summary!C4</f>
        <v/>
      </c>
      <c r="I16" s="47">
        <f>Data_Summary!C4</f>
        <v/>
      </c>
    </row>
    <row r="17" ht="15" customHeight="1" s="38">
      <c r="B17" s="48" t="inlineStr">
        <is>
          <t>Implied Untrended Rent</t>
        </is>
      </c>
      <c r="G17" s="43">
        <f>G15</f>
        <v/>
      </c>
      <c r="H17" s="44">
        <f>IFERROR(H15*(1+H16),"")</f>
        <v/>
      </c>
      <c r="I17" s="45">
        <f>IFERROR(I15*(1+I16),"")</f>
        <v/>
      </c>
    </row>
    <row r="18" ht="15" customHeight="1" s="38">
      <c r="G18" s="43" t="n"/>
      <c r="H18" s="44" t="n"/>
      <c r="I18" s="45" t="n"/>
    </row>
    <row r="19" ht="15" customHeight="1" s="38">
      <c r="B19" s="49" t="inlineStr">
        <is>
          <t>Subject Site (Untrended Rent)</t>
        </is>
      </c>
      <c r="G19" s="43">
        <f>G17</f>
        <v/>
      </c>
      <c r="H19" s="44">
        <f>H17</f>
        <v/>
      </c>
      <c r="I19" s="45">
        <f>I17</f>
        <v/>
      </c>
    </row>
    <row r="20" ht="15" customHeight="1" s="38">
      <c r="G20" s="43" t="n"/>
      <c r="H20" s="44" t="n"/>
      <c r="I20" s="45" t="n"/>
    </row>
    <row r="21" ht="15" customHeight="1" s="38">
      <c r="B21" s="48" t="inlineStr">
        <is>
          <t>Other Excluded</t>
        </is>
      </c>
      <c r="G21" s="43" t="n"/>
      <c r="H21" s="44" t="n"/>
      <c r="I21" s="45" t="n"/>
    </row>
    <row r="22" ht="15" customHeight="1" s="38">
      <c r="B22" s="50" t="inlineStr">
        <is>
          <t>User selected all 9 shortlisted buildings (2026-06-16) — no shortlisted-but-rejected comps pulled.</t>
        </is>
      </c>
      <c r="G22" s="43" t="n"/>
      <c r="H22" s="44" t="n"/>
      <c r="I22" s="45" t="n"/>
    </row>
    <row r="23" ht="15" customHeight="1" s="38">
      <c r="B23" s="50" t="inlineStr">
        <is>
          <t>Evaluated &amp; excluded (different micro-market / farther): Sugar Wharf (95-85 Lake Shore E, 2023), Lighthouse &amp; Aquabella/Aqualuna (East Bayfront, ~2.5km), Bisha / King Blue / Theatre Park (Entertainment District). Older CityPlace redundant with floor: Optima, Apex, Montage, Neo, Luna, Parade, West One, Harbour View I/III.</t>
        </is>
      </c>
      <c r="G23" s="43" t="n"/>
      <c r="H23" s="44" t="n"/>
      <c r="I23" s="45" t="n"/>
    </row>
    <row r="24" ht="15" customHeight="1" s="38">
      <c r="G24" s="43" t="n"/>
      <c r="H24" s="44" t="n"/>
      <c r="I24" s="45" t="n"/>
    </row>
    <row r="25" ht="15" customHeight="1" s="38">
      <c r="B25" s="46" t="inlineStr">
        <is>
          <t>Weighted Average (all comps)</t>
        </is>
      </c>
      <c r="F25" s="37">
        <f>COUNTIFS('RD Condos'!$A:$A,1)</f>
        <v/>
      </c>
      <c r="G25" s="43">
        <f>IFERROR(AVERAGEIFS('RD Condos'!$B:$B,'RD Condos'!$A:$A,1),"")</f>
        <v/>
      </c>
      <c r="H25" s="44">
        <f>IFERROR(AVERAGEIFS('RD Condos'!$D:$D,'RD Condos'!$A:$A,1),"")</f>
        <v/>
      </c>
      <c r="I25" s="45">
        <f>IFERROR(AVERAGEIFS('RD Condos'!$F:$F,'RD Condos'!$A:$A,1),"")</f>
        <v/>
      </c>
    </row>
    <row r="26" ht="15" customHeight="1" s="38">
      <c r="B26" s="37" t="inlineStr">
        <is>
          <t>PBR Premium</t>
        </is>
      </c>
      <c r="G26" s="43" t="n"/>
      <c r="H26" s="47">
        <f>Data_Summary!C4</f>
        <v/>
      </c>
      <c r="I26" s="47">
        <f>Data_Summary!C4</f>
        <v/>
      </c>
    </row>
    <row r="27" ht="15" customHeight="1" s="38">
      <c r="B27" s="48" t="inlineStr">
        <is>
          <t>Implied Untrended Rent</t>
        </is>
      </c>
      <c r="G27" s="43" t="n"/>
      <c r="H27" s="44">
        <f>IFERROR(H25*(1+H26),"")</f>
        <v/>
      </c>
      <c r="I27" s="45">
        <f>IFERROR(I25*(1+I26),"")</f>
        <v/>
      </c>
      <c r="L27" s="41" t="inlineStr">
        <is>
          <t>1-Bedroom Units</t>
        </is>
      </c>
      <c r="P27" s="41" t="inlineStr">
        <is>
          <t>1-Bedroom + Den Units</t>
        </is>
      </c>
      <c r="T27" s="41" t="inlineStr">
        <is>
          <t>2-Bedroom Units</t>
        </is>
      </c>
      <c r="X27" s="41" t="inlineStr">
        <is>
          <t>3-Bedroom Units</t>
        </is>
      </c>
    </row>
    <row r="28" ht="52.2" customHeight="1" s="38">
      <c r="K28" s="51" t="inlineStr">
        <is>
          <t>Building</t>
        </is>
      </c>
      <c r="L28" s="52" t="inlineStr">
        <is>
          <t>Transaction
Count</t>
        </is>
      </c>
      <c r="M28" s="52" t="inlineStr">
        <is>
          <t>Avg. Suite
Size</t>
        </is>
      </c>
      <c r="N28" s="52" t="inlineStr">
        <is>
          <t>Adj. Avg.
Rent</t>
        </is>
      </c>
      <c r="O28" s="52" t="inlineStr">
        <is>
          <t>Avg. Net
Rent PSF</t>
        </is>
      </c>
      <c r="P28" s="52" t="inlineStr">
        <is>
          <t>Transaction
Count</t>
        </is>
      </c>
      <c r="Q28" s="52" t="inlineStr">
        <is>
          <t>Avg. Suite
Size</t>
        </is>
      </c>
      <c r="R28" s="52" t="inlineStr">
        <is>
          <t>Adj. Avg.
Rent</t>
        </is>
      </c>
      <c r="S28" s="52" t="inlineStr">
        <is>
          <t>Avg. Net
Rent PSF</t>
        </is>
      </c>
      <c r="T28" s="52" t="inlineStr">
        <is>
          <t>Transaction
Count</t>
        </is>
      </c>
      <c r="U28" s="52" t="inlineStr">
        <is>
          <t>Avg. Suite
Size</t>
        </is>
      </c>
      <c r="V28" s="52" t="inlineStr">
        <is>
          <t>Adj. Avg.
Rent</t>
        </is>
      </c>
      <c r="W28" s="52" t="inlineStr">
        <is>
          <t>Avg. Net
Rent PSF</t>
        </is>
      </c>
      <c r="X28" s="52" t="inlineStr">
        <is>
          <t>Transaction
Count</t>
        </is>
      </c>
      <c r="Y28" s="52" t="inlineStr">
        <is>
          <t>Avg. Suite
Size</t>
        </is>
      </c>
      <c r="Z28" s="52" t="inlineStr">
        <is>
          <t>Adj. Avg.
Rent</t>
        </is>
      </c>
      <c r="AA28" s="52" t="inlineStr">
        <is>
          <t>Avg. Net
Rent PSF</t>
        </is>
      </c>
    </row>
    <row r="29" ht="15" customHeight="1" s="38">
      <c r="K29" s="37" t="inlineStr">
        <is>
          <t>Concord Canada House</t>
        </is>
      </c>
      <c r="L29" s="37">
        <f>COUNTIFS('RD Condos'!$Q:$Q,"1",'RD Condos'!$A:$A,1,'RD Condos'!$K:$K,"Concord Canada House")</f>
        <v/>
      </c>
      <c r="M29" s="43">
        <f>IFERROR(AVERAGEIFS('RD Condos'!$B:$B,'RD Condos'!$Q:$Q,"1",'RD Condos'!$A:$A,1,'RD Condos'!$K:$K,"Concord Canada House"),"")</f>
        <v/>
      </c>
      <c r="N29" s="44">
        <f>IFERROR(AVERAGEIFS('RD Condos'!$D:$D,'RD Condos'!$Q:$Q,"1",'RD Condos'!$A:$A,1,'RD Condos'!$K:$K,"Concord Canada House"),"")</f>
        <v/>
      </c>
      <c r="O29" s="45">
        <f>IFERROR(AVERAGEIFS('RD Condos'!$F:$F,'RD Condos'!$Q:$Q,"1",'RD Condos'!$A:$A,1,'RD Condos'!$K:$K,"Concord Canada House"),"")</f>
        <v/>
      </c>
      <c r="P29" s="37">
        <f>COUNTIFS('RD Condos'!$Q:$Q,"1+1",'RD Condos'!$A:$A,1,'RD Condos'!$K:$K,"Concord Canada House")</f>
        <v/>
      </c>
      <c r="Q29" s="43">
        <f>IFERROR(AVERAGEIFS('RD Condos'!$B:$B,'RD Condos'!$Q:$Q,"1+1",'RD Condos'!$A:$A,1,'RD Condos'!$K:$K,"Concord Canada House"),"")</f>
        <v/>
      </c>
      <c r="R29" s="44">
        <f>IFERROR(AVERAGEIFS('RD Condos'!$D:$D,'RD Condos'!$Q:$Q,"1+1",'RD Condos'!$A:$A,1,'RD Condos'!$K:$K,"Concord Canada House"),"")</f>
        <v/>
      </c>
      <c r="S29" s="45">
        <f>IFERROR(AVERAGEIFS('RD Condos'!$F:$F,'RD Condos'!$Q:$Q,"1+1",'RD Condos'!$A:$A,1,'RD Condos'!$K:$K,"Concord Canada House"),"")</f>
        <v/>
      </c>
      <c r="T29" s="37">
        <f>COUNTIFS('RD Condos'!$H:$H,"2",'RD Condos'!$A:$A,1,'RD Condos'!$K:$K,"Concord Canada House")</f>
        <v/>
      </c>
      <c r="U29" s="43">
        <f>IFERROR(AVERAGEIFS('RD Condos'!$B:$B,'RD Condos'!$H:$H,"2",'RD Condos'!$A:$A,1,'RD Condos'!$K:$K,"Concord Canada House"),"")</f>
        <v/>
      </c>
      <c r="V29" s="44">
        <f>IFERROR(AVERAGEIFS('RD Condos'!$D:$D,'RD Condos'!$H:$H,"2",'RD Condos'!$A:$A,1,'RD Condos'!$K:$K,"Concord Canada House"),"")</f>
        <v/>
      </c>
      <c r="W29" s="45">
        <f>IFERROR(AVERAGEIFS('RD Condos'!$F:$F,'RD Condos'!$H:$H,"2",'RD Condos'!$A:$A,1,'RD Condos'!$K:$K,"Concord Canada House"),"")</f>
        <v/>
      </c>
      <c r="X29" s="37">
        <f>COUNTIFS('RD Condos'!$H:$H,"3",'RD Condos'!$A:$A,1,'RD Condos'!$K:$K,"Concord Canada House")</f>
        <v/>
      </c>
      <c r="Y29" s="43">
        <f>IFERROR(AVERAGEIFS('RD Condos'!$B:$B,'RD Condos'!$H:$H,"3",'RD Condos'!$A:$A,1,'RD Condos'!$K:$K,"Concord Canada House"),"")</f>
        <v/>
      </c>
      <c r="Z29" s="44">
        <f>IFERROR(AVERAGEIFS('RD Condos'!$D:$D,'RD Condos'!$H:$H,"3",'RD Condos'!$A:$A,1,'RD Condos'!$K:$K,"Concord Canada House"),"")</f>
        <v/>
      </c>
      <c r="AA29" s="45">
        <f>IFERROR(AVERAGEIFS('RD Condos'!$F:$F,'RD Condos'!$H:$H,"3",'RD Condos'!$A:$A,1,'RD Condos'!$K:$K,"Concord Canada House"),"")</f>
        <v/>
      </c>
    </row>
    <row r="30" ht="15" customHeight="1" s="38">
      <c r="B30" s="53" t="inlineStr">
        <is>
          <t>RECOMMENDATION (mirror of Subject &amp; Conclusion)</t>
        </is>
      </c>
      <c r="K30" s="37" t="inlineStr">
        <is>
          <t>Nobu Residences</t>
        </is>
      </c>
      <c r="L30" s="37">
        <f>COUNTIFS('RD Condos'!$Q:$Q,"1",'RD Condos'!$A:$A,1,'RD Condos'!$K:$K,"Nobu Residences")</f>
        <v/>
      </c>
      <c r="M30" s="43">
        <f>IFERROR(AVERAGEIFS('RD Condos'!$B:$B,'RD Condos'!$Q:$Q,"1",'RD Condos'!$A:$A,1,'RD Condos'!$K:$K,"Nobu Residences"),"")</f>
        <v/>
      </c>
      <c r="N30" s="44">
        <f>IFERROR(AVERAGEIFS('RD Condos'!$D:$D,'RD Condos'!$Q:$Q,"1",'RD Condos'!$A:$A,1,'RD Condos'!$K:$K,"Nobu Residences"),"")</f>
        <v/>
      </c>
      <c r="O30" s="45">
        <f>IFERROR(AVERAGEIFS('RD Condos'!$F:$F,'RD Condos'!$Q:$Q,"1",'RD Condos'!$A:$A,1,'RD Condos'!$K:$K,"Nobu Residences"),"")</f>
        <v/>
      </c>
      <c r="P30" s="37">
        <f>COUNTIFS('RD Condos'!$Q:$Q,"1+1",'RD Condos'!$A:$A,1,'RD Condos'!$K:$K,"Nobu Residences")</f>
        <v/>
      </c>
      <c r="Q30" s="43">
        <f>IFERROR(AVERAGEIFS('RD Condos'!$B:$B,'RD Condos'!$Q:$Q,"1+1",'RD Condos'!$A:$A,1,'RD Condos'!$K:$K,"Nobu Residences"),"")</f>
        <v/>
      </c>
      <c r="R30" s="44">
        <f>IFERROR(AVERAGEIFS('RD Condos'!$D:$D,'RD Condos'!$Q:$Q,"1+1",'RD Condos'!$A:$A,1,'RD Condos'!$K:$K,"Nobu Residences"),"")</f>
        <v/>
      </c>
      <c r="S30" s="45">
        <f>IFERROR(AVERAGEIFS('RD Condos'!$F:$F,'RD Condos'!$Q:$Q,"1+1",'RD Condos'!$A:$A,1,'RD Condos'!$K:$K,"Nobu Residences"),"")</f>
        <v/>
      </c>
      <c r="T30" s="37">
        <f>COUNTIFS('RD Condos'!$H:$H,"2",'RD Condos'!$A:$A,1,'RD Condos'!$K:$K,"Nobu Residences")</f>
        <v/>
      </c>
      <c r="U30" s="43">
        <f>IFERROR(AVERAGEIFS('RD Condos'!$B:$B,'RD Condos'!$H:$H,"2",'RD Condos'!$A:$A,1,'RD Condos'!$K:$K,"Nobu Residences"),"")</f>
        <v/>
      </c>
      <c r="V30" s="44">
        <f>IFERROR(AVERAGEIFS('RD Condos'!$D:$D,'RD Condos'!$H:$H,"2",'RD Condos'!$A:$A,1,'RD Condos'!$K:$K,"Nobu Residences"),"")</f>
        <v/>
      </c>
      <c r="W30" s="45">
        <f>IFERROR(AVERAGEIFS('RD Condos'!$F:$F,'RD Condos'!$H:$H,"2",'RD Condos'!$A:$A,1,'RD Condos'!$K:$K,"Nobu Residences"),"")</f>
        <v/>
      </c>
      <c r="X30" s="37">
        <f>COUNTIFS('RD Condos'!$H:$H,"3",'RD Condos'!$A:$A,1,'RD Condos'!$K:$K,"Nobu Residences")</f>
        <v/>
      </c>
      <c r="Y30" s="43">
        <f>IFERROR(AVERAGEIFS('RD Condos'!$B:$B,'RD Condos'!$H:$H,"3",'RD Condos'!$A:$A,1,'RD Condos'!$K:$K,"Nobu Residences"),"")</f>
        <v/>
      </c>
      <c r="Z30" s="44">
        <f>IFERROR(AVERAGEIFS('RD Condos'!$D:$D,'RD Condos'!$H:$H,"3",'RD Condos'!$A:$A,1,'RD Condos'!$K:$K,"Nobu Residences"),"")</f>
        <v/>
      </c>
      <c r="AA30" s="45">
        <f>IFERROR(AVERAGEIFS('RD Condos'!$F:$F,'RD Condos'!$H:$H,"3",'RD Condos'!$A:$A,1,'RD Condos'!$K:$K,"Nobu Residences"),"")</f>
        <v/>
      </c>
    </row>
    <row r="31" ht="15" customHeight="1" s="38">
      <c r="B31" s="37" t="inlineStr">
        <is>
          <t>Recommended subject $/SF</t>
        </is>
      </c>
      <c r="D31" s="83">
        <f>Data_Summary!$C$34</f>
        <v/>
      </c>
      <c r="K31" s="37" t="inlineStr">
        <is>
          <t>The Well</t>
        </is>
      </c>
      <c r="L31" s="37">
        <f>COUNTIFS('RD Condos'!$Q:$Q,"1",'RD Condos'!$A:$A,1,'RD Condos'!$K:$K,"The Well")</f>
        <v/>
      </c>
      <c r="M31" s="43">
        <f>IFERROR(AVERAGEIFS('RD Condos'!$B:$B,'RD Condos'!$Q:$Q,"1",'RD Condos'!$A:$A,1,'RD Condos'!$K:$K,"The Well"),"")</f>
        <v/>
      </c>
      <c r="N31" s="44">
        <f>IFERROR(AVERAGEIFS('RD Condos'!$D:$D,'RD Condos'!$Q:$Q,"1",'RD Condos'!$A:$A,1,'RD Condos'!$K:$K,"The Well"),"")</f>
        <v/>
      </c>
      <c r="O31" s="45">
        <f>IFERROR(AVERAGEIFS('RD Condos'!$F:$F,'RD Condos'!$Q:$Q,"1",'RD Condos'!$A:$A,1,'RD Condos'!$K:$K,"The Well"),"")</f>
        <v/>
      </c>
      <c r="P31" s="37">
        <f>COUNTIFS('RD Condos'!$Q:$Q,"1+1",'RD Condos'!$A:$A,1,'RD Condos'!$K:$K,"The Well")</f>
        <v/>
      </c>
      <c r="Q31" s="43">
        <f>IFERROR(AVERAGEIFS('RD Condos'!$B:$B,'RD Condos'!$Q:$Q,"1+1",'RD Condos'!$A:$A,1,'RD Condos'!$K:$K,"The Well"),"")</f>
        <v/>
      </c>
      <c r="R31" s="44">
        <f>IFERROR(AVERAGEIFS('RD Condos'!$D:$D,'RD Condos'!$Q:$Q,"1+1",'RD Condos'!$A:$A,1,'RD Condos'!$K:$K,"The Well"),"")</f>
        <v/>
      </c>
      <c r="S31" s="45">
        <f>IFERROR(AVERAGEIFS('RD Condos'!$F:$F,'RD Condos'!$Q:$Q,"1+1",'RD Condos'!$A:$A,1,'RD Condos'!$K:$K,"The Well"),"")</f>
        <v/>
      </c>
      <c r="T31" s="37">
        <f>COUNTIFS('RD Condos'!$H:$H,"2",'RD Condos'!$A:$A,1,'RD Condos'!$K:$K,"The Well")</f>
        <v/>
      </c>
      <c r="U31" s="43">
        <f>IFERROR(AVERAGEIFS('RD Condos'!$B:$B,'RD Condos'!$H:$H,"2",'RD Condos'!$A:$A,1,'RD Condos'!$K:$K,"The Well"),"")</f>
        <v/>
      </c>
      <c r="V31" s="44">
        <f>IFERROR(AVERAGEIFS('RD Condos'!$D:$D,'RD Condos'!$H:$H,"2",'RD Condos'!$A:$A,1,'RD Condos'!$K:$K,"The Well"),"")</f>
        <v/>
      </c>
      <c r="W31" s="45">
        <f>IFERROR(AVERAGEIFS('RD Condos'!$F:$F,'RD Condos'!$H:$H,"2",'RD Condos'!$A:$A,1,'RD Condos'!$K:$K,"The Well"),"")</f>
        <v/>
      </c>
      <c r="X31" s="37">
        <f>COUNTIFS('RD Condos'!$H:$H,"3",'RD Condos'!$A:$A,1,'RD Condos'!$K:$K,"The Well")</f>
        <v/>
      </c>
      <c r="Y31" s="43">
        <f>IFERROR(AVERAGEIFS('RD Condos'!$B:$B,'RD Condos'!$H:$H,"3",'RD Condos'!$A:$A,1,'RD Condos'!$K:$K,"The Well"),"")</f>
        <v/>
      </c>
      <c r="Z31" s="44">
        <f>IFERROR(AVERAGEIFS('RD Condos'!$D:$D,'RD Condos'!$H:$H,"3",'RD Condos'!$A:$A,1,'RD Condos'!$K:$K,"The Well"),"")</f>
        <v/>
      </c>
      <c r="AA31" s="45">
        <f>IFERROR(AVERAGEIFS('RD Condos'!$F:$F,'RD Condos'!$H:$H,"3",'RD Condos'!$A:$A,1,'RD Condos'!$K:$K,"The Well"),"")</f>
        <v/>
      </c>
    </row>
    <row r="32" ht="15" customHeight="1" s="38">
      <c r="B32" s="37" t="inlineStr">
        <is>
          <t>Conservative (all-comp + premium) $/SF</t>
        </is>
      </c>
      <c r="D32" s="83">
        <f>Data_Summary!$C$35</f>
        <v/>
      </c>
      <c r="K32" s="37" t="inlineStr">
        <is>
          <t>Ten York</t>
        </is>
      </c>
      <c r="L32" s="37">
        <f>COUNTIFS('RD Condos'!$Q:$Q,"1",'RD Condos'!$A:$A,1,'RD Condos'!$K:$K,"Ten York")</f>
        <v/>
      </c>
      <c r="M32" s="43">
        <f>IFERROR(AVERAGEIFS('RD Condos'!$B:$B,'RD Condos'!$Q:$Q,"1",'RD Condos'!$A:$A,1,'RD Condos'!$K:$K,"Ten York"),"")</f>
        <v/>
      </c>
      <c r="N32" s="44">
        <f>IFERROR(AVERAGEIFS('RD Condos'!$D:$D,'RD Condos'!$Q:$Q,"1",'RD Condos'!$A:$A,1,'RD Condos'!$K:$K,"Ten York"),"")</f>
        <v/>
      </c>
      <c r="O32" s="45">
        <f>IFERROR(AVERAGEIFS('RD Condos'!$F:$F,'RD Condos'!$Q:$Q,"1",'RD Condos'!$A:$A,1,'RD Condos'!$K:$K,"Ten York"),"")</f>
        <v/>
      </c>
      <c r="P32" s="37">
        <f>COUNTIFS('RD Condos'!$Q:$Q,"1+1",'RD Condos'!$A:$A,1,'RD Condos'!$K:$K,"Ten York")</f>
        <v/>
      </c>
      <c r="Q32" s="43">
        <f>IFERROR(AVERAGEIFS('RD Condos'!$B:$B,'RD Condos'!$Q:$Q,"1+1",'RD Condos'!$A:$A,1,'RD Condos'!$K:$K,"Ten York"),"")</f>
        <v/>
      </c>
      <c r="R32" s="44">
        <f>IFERROR(AVERAGEIFS('RD Condos'!$D:$D,'RD Condos'!$Q:$Q,"1+1",'RD Condos'!$A:$A,1,'RD Condos'!$K:$K,"Ten York"),"")</f>
        <v/>
      </c>
      <c r="S32" s="45">
        <f>IFERROR(AVERAGEIFS('RD Condos'!$F:$F,'RD Condos'!$Q:$Q,"1+1",'RD Condos'!$A:$A,1,'RD Condos'!$K:$K,"Ten York"),"")</f>
        <v/>
      </c>
      <c r="T32" s="37">
        <f>COUNTIFS('RD Condos'!$H:$H,"2",'RD Condos'!$A:$A,1,'RD Condos'!$K:$K,"Ten York")</f>
        <v/>
      </c>
      <c r="U32" s="43">
        <f>IFERROR(AVERAGEIFS('RD Condos'!$B:$B,'RD Condos'!$H:$H,"2",'RD Condos'!$A:$A,1,'RD Condos'!$K:$K,"Ten York"),"")</f>
        <v/>
      </c>
      <c r="V32" s="44">
        <f>IFERROR(AVERAGEIFS('RD Condos'!$D:$D,'RD Condos'!$H:$H,"2",'RD Condos'!$A:$A,1,'RD Condos'!$K:$K,"Ten York"),"")</f>
        <v/>
      </c>
      <c r="W32" s="45">
        <f>IFERROR(AVERAGEIFS('RD Condos'!$F:$F,'RD Condos'!$H:$H,"2",'RD Condos'!$A:$A,1,'RD Condos'!$K:$K,"Ten York"),"")</f>
        <v/>
      </c>
      <c r="X32" s="37">
        <f>COUNTIFS('RD Condos'!$H:$H,"3",'RD Condos'!$A:$A,1,'RD Condos'!$K:$K,"Ten York")</f>
        <v/>
      </c>
      <c r="Y32" s="43">
        <f>IFERROR(AVERAGEIFS('RD Condos'!$B:$B,'RD Condos'!$H:$H,"3",'RD Condos'!$A:$A,1,'RD Condos'!$K:$K,"Ten York"),"")</f>
        <v/>
      </c>
      <c r="Z32" s="44">
        <f>IFERROR(AVERAGEIFS('RD Condos'!$D:$D,'RD Condos'!$H:$H,"3",'RD Condos'!$A:$A,1,'RD Condos'!$K:$K,"Ten York"),"")</f>
        <v/>
      </c>
      <c r="AA32" s="45">
        <f>IFERROR(AVERAGEIFS('RD Condos'!$F:$F,'RD Condos'!$H:$H,"3",'RD Condos'!$A:$A,1,'RD Condos'!$K:$K,"Ten York"),"")</f>
        <v/>
      </c>
    </row>
    <row r="33" ht="15" customHeight="1" s="38">
      <c r="B33" s="37" t="inlineStr">
        <is>
          <t>Raw comp $/SF (Concord, no premium)</t>
        </is>
      </c>
      <c r="D33" s="83">
        <f>Data_Summary!$C$31</f>
        <v/>
      </c>
      <c r="K33" s="37" t="inlineStr">
        <is>
          <t>Forward Condos</t>
        </is>
      </c>
      <c r="L33" s="37">
        <f>COUNTIFS('RD Condos'!$Q:$Q,"1",'RD Condos'!$A:$A,1,'RD Condos'!$K:$K,"Forward Condos")</f>
        <v/>
      </c>
      <c r="M33" s="43">
        <f>IFERROR(AVERAGEIFS('RD Condos'!$B:$B,'RD Condos'!$Q:$Q,"1",'RD Condos'!$A:$A,1,'RD Condos'!$K:$K,"Forward Condos"),"")</f>
        <v/>
      </c>
      <c r="N33" s="44">
        <f>IFERROR(AVERAGEIFS('RD Condos'!$D:$D,'RD Condos'!$Q:$Q,"1",'RD Condos'!$A:$A,1,'RD Condos'!$K:$K,"Forward Condos"),"")</f>
        <v/>
      </c>
      <c r="O33" s="45">
        <f>IFERROR(AVERAGEIFS('RD Condos'!$F:$F,'RD Condos'!$Q:$Q,"1",'RD Condos'!$A:$A,1,'RD Condos'!$K:$K,"Forward Condos"),"")</f>
        <v/>
      </c>
      <c r="P33" s="37">
        <f>COUNTIFS('RD Condos'!$Q:$Q,"1+1",'RD Condos'!$A:$A,1,'RD Condos'!$K:$K,"Forward Condos")</f>
        <v/>
      </c>
      <c r="Q33" s="43">
        <f>IFERROR(AVERAGEIFS('RD Condos'!$B:$B,'RD Condos'!$Q:$Q,"1+1",'RD Condos'!$A:$A,1,'RD Condos'!$K:$K,"Forward Condos"),"")</f>
        <v/>
      </c>
      <c r="R33" s="44">
        <f>IFERROR(AVERAGEIFS('RD Condos'!$D:$D,'RD Condos'!$Q:$Q,"1+1",'RD Condos'!$A:$A,1,'RD Condos'!$K:$K,"Forward Condos"),"")</f>
        <v/>
      </c>
      <c r="S33" s="45">
        <f>IFERROR(AVERAGEIFS('RD Condos'!$F:$F,'RD Condos'!$Q:$Q,"1+1",'RD Condos'!$A:$A,1,'RD Condos'!$K:$K,"Forward Condos"),"")</f>
        <v/>
      </c>
      <c r="T33" s="37">
        <f>COUNTIFS('RD Condos'!$H:$H,"2",'RD Condos'!$A:$A,1,'RD Condos'!$K:$K,"Forward Condos")</f>
        <v/>
      </c>
      <c r="U33" s="43">
        <f>IFERROR(AVERAGEIFS('RD Condos'!$B:$B,'RD Condos'!$H:$H,"2",'RD Condos'!$A:$A,1,'RD Condos'!$K:$K,"Forward Condos"),"")</f>
        <v/>
      </c>
      <c r="V33" s="44">
        <f>IFERROR(AVERAGEIFS('RD Condos'!$D:$D,'RD Condos'!$H:$H,"2",'RD Condos'!$A:$A,1,'RD Condos'!$K:$K,"Forward Condos"),"")</f>
        <v/>
      </c>
      <c r="W33" s="45">
        <f>IFERROR(AVERAGEIFS('RD Condos'!$F:$F,'RD Condos'!$H:$H,"2",'RD Condos'!$A:$A,1,'RD Condos'!$K:$K,"Forward Condos"),"")</f>
        <v/>
      </c>
      <c r="X33" s="37">
        <f>COUNTIFS('RD Condos'!$H:$H,"3",'RD Condos'!$A:$A,1,'RD Condos'!$K:$K,"Forward Condos")</f>
        <v/>
      </c>
      <c r="Y33" s="43">
        <f>IFERROR(AVERAGEIFS('RD Condos'!$B:$B,'RD Condos'!$H:$H,"3",'RD Condos'!$A:$A,1,'RD Condos'!$K:$K,"Forward Condos"),"")</f>
        <v/>
      </c>
      <c r="Z33" s="44">
        <f>IFERROR(AVERAGEIFS('RD Condos'!$D:$D,'RD Condos'!$H:$H,"3",'RD Condos'!$A:$A,1,'RD Condos'!$K:$K,"Forward Condos"),"")</f>
        <v/>
      </c>
      <c r="AA33" s="45">
        <f>IFERROR(AVERAGEIFS('RD Condos'!$F:$F,'RD Condos'!$H:$H,"3",'RD Condos'!$A:$A,1,'RD Condos'!$K:$K,"Forward Condos"),"")</f>
        <v/>
      </c>
    </row>
    <row r="34" ht="15" customHeight="1" s="38">
      <c r="B34" s="37" t="inlineStr">
        <is>
          <t>Plus — new-build / lease-up premium</t>
        </is>
      </c>
      <c r="D34" s="55">
        <f>Data_Summary!$C$4</f>
        <v/>
      </c>
      <c r="K34" s="37" t="inlineStr">
        <is>
          <t>Quartz/Spectra</t>
        </is>
      </c>
      <c r="L34" s="37">
        <f>COUNTIFS('RD Condos'!$Q:$Q,"1",'RD Condos'!$A:$A,1,'RD Condos'!$K:$K,"Quartz/Spectra")</f>
        <v/>
      </c>
      <c r="M34" s="43">
        <f>IFERROR(AVERAGEIFS('RD Condos'!$B:$B,'RD Condos'!$Q:$Q,"1",'RD Condos'!$A:$A,1,'RD Condos'!$K:$K,"Quartz/Spectra"),"")</f>
        <v/>
      </c>
      <c r="N34" s="44">
        <f>IFERROR(AVERAGEIFS('RD Condos'!$D:$D,'RD Condos'!$Q:$Q,"1",'RD Condos'!$A:$A,1,'RD Condos'!$K:$K,"Quartz/Spectra"),"")</f>
        <v/>
      </c>
      <c r="O34" s="45">
        <f>IFERROR(AVERAGEIFS('RD Condos'!$F:$F,'RD Condos'!$Q:$Q,"1",'RD Condos'!$A:$A,1,'RD Condos'!$K:$K,"Quartz/Spectra"),"")</f>
        <v/>
      </c>
      <c r="P34" s="37">
        <f>COUNTIFS('RD Condos'!$Q:$Q,"1+1",'RD Condos'!$A:$A,1,'RD Condos'!$K:$K,"Quartz/Spectra")</f>
        <v/>
      </c>
      <c r="Q34" s="43">
        <f>IFERROR(AVERAGEIFS('RD Condos'!$B:$B,'RD Condos'!$Q:$Q,"1+1",'RD Condos'!$A:$A,1,'RD Condos'!$K:$K,"Quartz/Spectra"),"")</f>
        <v/>
      </c>
      <c r="R34" s="44">
        <f>IFERROR(AVERAGEIFS('RD Condos'!$D:$D,'RD Condos'!$Q:$Q,"1+1",'RD Condos'!$A:$A,1,'RD Condos'!$K:$K,"Quartz/Spectra"),"")</f>
        <v/>
      </c>
      <c r="S34" s="45">
        <f>IFERROR(AVERAGEIFS('RD Condos'!$F:$F,'RD Condos'!$Q:$Q,"1+1",'RD Condos'!$A:$A,1,'RD Condos'!$K:$K,"Quartz/Spectra"),"")</f>
        <v/>
      </c>
      <c r="T34" s="37">
        <f>COUNTIFS('RD Condos'!$H:$H,"2",'RD Condos'!$A:$A,1,'RD Condos'!$K:$K,"Quartz/Spectra")</f>
        <v/>
      </c>
      <c r="U34" s="43">
        <f>IFERROR(AVERAGEIFS('RD Condos'!$B:$B,'RD Condos'!$H:$H,"2",'RD Condos'!$A:$A,1,'RD Condos'!$K:$K,"Quartz/Spectra"),"")</f>
        <v/>
      </c>
      <c r="V34" s="44">
        <f>IFERROR(AVERAGEIFS('RD Condos'!$D:$D,'RD Condos'!$H:$H,"2",'RD Condos'!$A:$A,1,'RD Condos'!$K:$K,"Quartz/Spectra"),"")</f>
        <v/>
      </c>
      <c r="W34" s="45">
        <f>IFERROR(AVERAGEIFS('RD Condos'!$F:$F,'RD Condos'!$H:$H,"2",'RD Condos'!$A:$A,1,'RD Condos'!$K:$K,"Quartz/Spectra"),"")</f>
        <v/>
      </c>
      <c r="X34" s="37">
        <f>COUNTIFS('RD Condos'!$H:$H,"3",'RD Condos'!$A:$A,1,'RD Condos'!$K:$K,"Quartz/Spectra")</f>
        <v/>
      </c>
      <c r="Y34" s="43">
        <f>IFERROR(AVERAGEIFS('RD Condos'!$B:$B,'RD Condos'!$H:$H,"3",'RD Condos'!$A:$A,1,'RD Condos'!$K:$K,"Quartz/Spectra"),"")</f>
        <v/>
      </c>
      <c r="Z34" s="44">
        <f>IFERROR(AVERAGEIFS('RD Condos'!$D:$D,'RD Condos'!$H:$H,"3",'RD Condos'!$A:$A,1,'RD Condos'!$K:$K,"Quartz/Spectra"),"")</f>
        <v/>
      </c>
      <c r="AA34" s="45">
        <f>IFERROR(AVERAGEIFS('RD Condos'!$F:$F,'RD Condos'!$H:$H,"3",'RD Condos'!$A:$A,1,'RD Condos'!$K:$K,"Quartz/Spectra"),"")</f>
        <v/>
      </c>
    </row>
    <row r="35" ht="15" customHeight="1" s="38">
      <c r="K35" s="37" t="inlineStr">
        <is>
          <t>Library District</t>
        </is>
      </c>
      <c r="L35" s="37">
        <f>COUNTIFS('RD Condos'!$Q:$Q,"1",'RD Condos'!$A:$A,1,'RD Condos'!$K:$K,"Library District")</f>
        <v/>
      </c>
      <c r="M35" s="43">
        <f>IFERROR(AVERAGEIFS('RD Condos'!$B:$B,'RD Condos'!$Q:$Q,"1",'RD Condos'!$A:$A,1,'RD Condos'!$K:$K,"Library District"),"")</f>
        <v/>
      </c>
      <c r="N35" s="44">
        <f>IFERROR(AVERAGEIFS('RD Condos'!$D:$D,'RD Condos'!$Q:$Q,"1",'RD Condos'!$A:$A,1,'RD Condos'!$K:$K,"Library District"),"")</f>
        <v/>
      </c>
      <c r="O35" s="45">
        <f>IFERROR(AVERAGEIFS('RD Condos'!$F:$F,'RD Condos'!$Q:$Q,"1",'RD Condos'!$A:$A,1,'RD Condos'!$K:$K,"Library District"),"")</f>
        <v/>
      </c>
      <c r="P35" s="37">
        <f>COUNTIFS('RD Condos'!$Q:$Q,"1+1",'RD Condos'!$A:$A,1,'RD Condos'!$K:$K,"Library District")</f>
        <v/>
      </c>
      <c r="Q35" s="43">
        <f>IFERROR(AVERAGEIFS('RD Condos'!$B:$B,'RD Condos'!$Q:$Q,"1+1",'RD Condos'!$A:$A,1,'RD Condos'!$K:$K,"Library District"),"")</f>
        <v/>
      </c>
      <c r="R35" s="44">
        <f>IFERROR(AVERAGEIFS('RD Condos'!$D:$D,'RD Condos'!$Q:$Q,"1+1",'RD Condos'!$A:$A,1,'RD Condos'!$K:$K,"Library District"),"")</f>
        <v/>
      </c>
      <c r="S35" s="45">
        <f>IFERROR(AVERAGEIFS('RD Condos'!$F:$F,'RD Condos'!$Q:$Q,"1+1",'RD Condos'!$A:$A,1,'RD Condos'!$K:$K,"Library District"),"")</f>
        <v/>
      </c>
      <c r="T35" s="37">
        <f>COUNTIFS('RD Condos'!$H:$H,"2",'RD Condos'!$A:$A,1,'RD Condos'!$K:$K,"Library District")</f>
        <v/>
      </c>
      <c r="U35" s="43">
        <f>IFERROR(AVERAGEIFS('RD Condos'!$B:$B,'RD Condos'!$H:$H,"2",'RD Condos'!$A:$A,1,'RD Condos'!$K:$K,"Library District"),"")</f>
        <v/>
      </c>
      <c r="V35" s="44">
        <f>IFERROR(AVERAGEIFS('RD Condos'!$D:$D,'RD Condos'!$H:$H,"2",'RD Condos'!$A:$A,1,'RD Condos'!$K:$K,"Library District"),"")</f>
        <v/>
      </c>
      <c r="W35" s="45">
        <f>IFERROR(AVERAGEIFS('RD Condos'!$F:$F,'RD Condos'!$H:$H,"2",'RD Condos'!$A:$A,1,'RD Condos'!$K:$K,"Library District"),"")</f>
        <v/>
      </c>
      <c r="X35" s="37">
        <f>COUNTIFS('RD Condos'!$H:$H,"3",'RD Condos'!$A:$A,1,'RD Condos'!$K:$K,"Library District")</f>
        <v/>
      </c>
      <c r="Y35" s="43">
        <f>IFERROR(AVERAGEIFS('RD Condos'!$B:$B,'RD Condos'!$H:$H,"3",'RD Condos'!$A:$A,1,'RD Condos'!$K:$K,"Library District"),"")</f>
        <v/>
      </c>
      <c r="Z35" s="44">
        <f>IFERROR(AVERAGEIFS('RD Condos'!$D:$D,'RD Condos'!$H:$H,"3",'RD Condos'!$A:$A,1,'RD Condos'!$K:$K,"Library District"),"")</f>
        <v/>
      </c>
      <c r="AA35" s="45">
        <f>IFERROR(AVERAGEIFS('RD Condos'!$F:$F,'RD Condos'!$H:$H,"3",'RD Condos'!$A:$A,1,'RD Condos'!$K:$K,"Library District"),"")</f>
        <v/>
      </c>
    </row>
    <row r="36" ht="15" customHeight="1" s="38">
      <c r="B36" s="53" t="inlineStr">
        <is>
          <t>Recommended monthly rent by suite type</t>
        </is>
      </c>
      <c r="K36" s="37" t="inlineStr">
        <is>
          <t>N1 | N2 - CityPlace</t>
        </is>
      </c>
      <c r="L36" s="37">
        <f>COUNTIFS('RD Condos'!$Q:$Q,"1",'RD Condos'!$A:$A,1,'RD Condos'!$K:$K,"N1 | N2 - CityPlace")</f>
        <v/>
      </c>
      <c r="M36" s="43">
        <f>IFERROR(AVERAGEIFS('RD Condos'!$B:$B,'RD Condos'!$Q:$Q,"1",'RD Condos'!$A:$A,1,'RD Condos'!$K:$K,"N1 | N2 - CityPlace"),"")</f>
        <v/>
      </c>
      <c r="N36" s="44">
        <f>IFERROR(AVERAGEIFS('RD Condos'!$D:$D,'RD Condos'!$Q:$Q,"1",'RD Condos'!$A:$A,1,'RD Condos'!$K:$K,"N1 | N2 - CityPlace"),"")</f>
        <v/>
      </c>
      <c r="O36" s="45">
        <f>IFERROR(AVERAGEIFS('RD Condos'!$F:$F,'RD Condos'!$Q:$Q,"1",'RD Condos'!$A:$A,1,'RD Condos'!$K:$K,"N1 | N2 - CityPlace"),"")</f>
        <v/>
      </c>
      <c r="P36" s="37">
        <f>COUNTIFS('RD Condos'!$Q:$Q,"1+1",'RD Condos'!$A:$A,1,'RD Condos'!$K:$K,"N1 | N2 - CityPlace")</f>
        <v/>
      </c>
      <c r="Q36" s="43">
        <f>IFERROR(AVERAGEIFS('RD Condos'!$B:$B,'RD Condos'!$Q:$Q,"1+1",'RD Condos'!$A:$A,1,'RD Condos'!$K:$K,"N1 | N2 - CityPlace"),"")</f>
        <v/>
      </c>
      <c r="R36" s="44">
        <f>IFERROR(AVERAGEIFS('RD Condos'!$D:$D,'RD Condos'!$Q:$Q,"1+1",'RD Condos'!$A:$A,1,'RD Condos'!$K:$K,"N1 | N2 - CityPlace"),"")</f>
        <v/>
      </c>
      <c r="S36" s="45">
        <f>IFERROR(AVERAGEIFS('RD Condos'!$F:$F,'RD Condos'!$Q:$Q,"1+1",'RD Condos'!$A:$A,1,'RD Condos'!$K:$K,"N1 | N2 - CityPlace"),"")</f>
        <v/>
      </c>
      <c r="T36" s="37">
        <f>COUNTIFS('RD Condos'!$H:$H,"2",'RD Condos'!$A:$A,1,'RD Condos'!$K:$K,"N1 | N2 - CityPlace")</f>
        <v/>
      </c>
      <c r="U36" s="43">
        <f>IFERROR(AVERAGEIFS('RD Condos'!$B:$B,'RD Condos'!$H:$H,"2",'RD Condos'!$A:$A,1,'RD Condos'!$K:$K,"N1 | N2 - CityPlace"),"")</f>
        <v/>
      </c>
      <c r="V36" s="44">
        <f>IFERROR(AVERAGEIFS('RD Condos'!$D:$D,'RD Condos'!$H:$H,"2",'RD Condos'!$A:$A,1,'RD Condos'!$K:$K,"N1 | N2 - CityPlace"),"")</f>
        <v/>
      </c>
      <c r="W36" s="45">
        <f>IFERROR(AVERAGEIFS('RD Condos'!$F:$F,'RD Condos'!$H:$H,"2",'RD Condos'!$A:$A,1,'RD Condos'!$K:$K,"N1 | N2 - CityPlace"),"")</f>
        <v/>
      </c>
      <c r="X36" s="37">
        <f>COUNTIFS('RD Condos'!$H:$H,"3",'RD Condos'!$A:$A,1,'RD Condos'!$K:$K,"N1 | N2 - CityPlace")</f>
        <v/>
      </c>
      <c r="Y36" s="43">
        <f>IFERROR(AVERAGEIFS('RD Condos'!$B:$B,'RD Condos'!$H:$H,"3",'RD Condos'!$A:$A,1,'RD Condos'!$K:$K,"N1 | N2 - CityPlace"),"")</f>
        <v/>
      </c>
      <c r="Z36" s="44">
        <f>IFERROR(AVERAGEIFS('RD Condos'!$D:$D,'RD Condos'!$H:$H,"3",'RD Condos'!$A:$A,1,'RD Condos'!$K:$K,"N1 | N2 - CityPlace"),"")</f>
        <v/>
      </c>
      <c r="AA36" s="45">
        <f>IFERROR(AVERAGEIFS('RD Condos'!$F:$F,'RD Condos'!$H:$H,"3",'RD Condos'!$A:$A,1,'RD Condos'!$K:$K,"N1 | N2 - CityPlace"),"")</f>
        <v/>
      </c>
    </row>
    <row r="37" ht="15" customHeight="1" s="38">
      <c r="B37" s="53" t="inlineStr">
        <is>
          <t>Suite</t>
        </is>
      </c>
      <c r="C37" s="53" t="inlineStr">
        <is>
          <t>Avg SF</t>
        </is>
      </c>
      <c r="D37" s="53" t="inlineStr">
        <is>
          <t>Rec. Rent</t>
        </is>
      </c>
      <c r="K37" s="37" t="inlineStr">
        <is>
          <t>Aqua</t>
        </is>
      </c>
      <c r="L37" s="37">
        <f>COUNTIFS('RD Condos'!$Q:$Q,"1",'RD Condos'!$A:$A,1,'RD Condos'!$K:$K,"Aqua")</f>
        <v/>
      </c>
      <c r="M37" s="43">
        <f>IFERROR(AVERAGEIFS('RD Condos'!$B:$B,'RD Condos'!$Q:$Q,"1",'RD Condos'!$A:$A,1,'RD Condos'!$K:$K,"Aqua"),"")</f>
        <v/>
      </c>
      <c r="N37" s="44">
        <f>IFERROR(AVERAGEIFS('RD Condos'!$D:$D,'RD Condos'!$Q:$Q,"1",'RD Condos'!$A:$A,1,'RD Condos'!$K:$K,"Aqua"),"")</f>
        <v/>
      </c>
      <c r="O37" s="45">
        <f>IFERROR(AVERAGEIFS('RD Condos'!$F:$F,'RD Condos'!$Q:$Q,"1",'RD Condos'!$A:$A,1,'RD Condos'!$K:$K,"Aqua"),"")</f>
        <v/>
      </c>
      <c r="P37" s="37">
        <f>COUNTIFS('RD Condos'!$Q:$Q,"1+1",'RD Condos'!$A:$A,1,'RD Condos'!$K:$K,"Aqua")</f>
        <v/>
      </c>
      <c r="Q37" s="43">
        <f>IFERROR(AVERAGEIFS('RD Condos'!$B:$B,'RD Condos'!$Q:$Q,"1+1",'RD Condos'!$A:$A,1,'RD Condos'!$K:$K,"Aqua"),"")</f>
        <v/>
      </c>
      <c r="R37" s="44">
        <f>IFERROR(AVERAGEIFS('RD Condos'!$D:$D,'RD Condos'!$Q:$Q,"1+1",'RD Condos'!$A:$A,1,'RD Condos'!$K:$K,"Aqua"),"")</f>
        <v/>
      </c>
      <c r="S37" s="45">
        <f>IFERROR(AVERAGEIFS('RD Condos'!$F:$F,'RD Condos'!$Q:$Q,"1+1",'RD Condos'!$A:$A,1,'RD Condos'!$K:$K,"Aqua"),"")</f>
        <v/>
      </c>
      <c r="T37" s="37">
        <f>COUNTIFS('RD Condos'!$H:$H,"2",'RD Condos'!$A:$A,1,'RD Condos'!$K:$K,"Aqua")</f>
        <v/>
      </c>
      <c r="U37" s="43">
        <f>IFERROR(AVERAGEIFS('RD Condos'!$B:$B,'RD Condos'!$H:$H,"2",'RD Condos'!$A:$A,1,'RD Condos'!$K:$K,"Aqua"),"")</f>
        <v/>
      </c>
      <c r="V37" s="44">
        <f>IFERROR(AVERAGEIFS('RD Condos'!$D:$D,'RD Condos'!$H:$H,"2",'RD Condos'!$A:$A,1,'RD Condos'!$K:$K,"Aqua"),"")</f>
        <v/>
      </c>
      <c r="W37" s="45">
        <f>IFERROR(AVERAGEIFS('RD Condos'!$F:$F,'RD Condos'!$H:$H,"2",'RD Condos'!$A:$A,1,'RD Condos'!$K:$K,"Aqua"),"")</f>
        <v/>
      </c>
      <c r="X37" s="37">
        <f>COUNTIFS('RD Condos'!$H:$H,"3",'RD Condos'!$A:$A,1,'RD Condos'!$K:$K,"Aqua")</f>
        <v/>
      </c>
      <c r="Y37" s="43">
        <f>IFERROR(AVERAGEIFS('RD Condos'!$B:$B,'RD Condos'!$H:$H,"3",'RD Condos'!$A:$A,1,'RD Condos'!$K:$K,"Aqua"),"")</f>
        <v/>
      </c>
      <c r="Z37" s="44">
        <f>IFERROR(AVERAGEIFS('RD Condos'!$D:$D,'RD Condos'!$H:$H,"3",'RD Condos'!$A:$A,1,'RD Condos'!$K:$K,"Aqua"),"")</f>
        <v/>
      </c>
      <c r="AA37" s="45">
        <f>IFERROR(AVERAGEIFS('RD Condos'!$F:$F,'RD Condos'!$H:$H,"3",'RD Condos'!$A:$A,1,'RD Condos'!$K:$K,"Aqua"),"")</f>
        <v/>
      </c>
    </row>
    <row r="38" ht="15" customHeight="1" s="38">
      <c r="B38" s="37" t="inlineStr">
        <is>
          <t>1-Bed / 1+Den</t>
        </is>
      </c>
      <c r="C38" s="56">
        <f>Data_Summary!C26</f>
        <v/>
      </c>
      <c r="D38" s="84">
        <f>Data_Summary!F26</f>
        <v/>
      </c>
      <c r="M38" s="43" t="n"/>
      <c r="N38" s="44" t="n"/>
      <c r="O38" s="45" t="n"/>
      <c r="Q38" s="43" t="n"/>
      <c r="R38" s="44" t="n"/>
      <c r="S38" s="45" t="n"/>
      <c r="U38" s="43" t="n"/>
      <c r="V38" s="44" t="n"/>
      <c r="W38" s="45" t="n"/>
      <c r="Y38" s="43" t="n"/>
      <c r="Z38" s="44" t="n"/>
      <c r="AA38" s="45" t="n"/>
    </row>
    <row r="39" ht="15" customHeight="1" s="38">
      <c r="B39" s="37" t="inlineStr">
        <is>
          <t>2-Bed</t>
        </is>
      </c>
      <c r="C39" s="56">
        <f>Data_Summary!C27</f>
        <v/>
      </c>
      <c r="D39" s="84">
        <f>Data_Summary!F27</f>
        <v/>
      </c>
      <c r="K39" s="46" t="inlineStr">
        <is>
          <t>Weighted Avg.</t>
        </is>
      </c>
      <c r="L39" s="37">
        <f>COUNTIFS('RD Condos'!$Q:$Q,"1",'RD Condos'!$A:$A,1)</f>
        <v/>
      </c>
      <c r="M39" s="43">
        <f>IFERROR(AVERAGEIFS('RD Condos'!$B:$B,'RD Condos'!$Q:$Q,"1",'RD Condos'!$A:$A,1),"")</f>
        <v/>
      </c>
      <c r="N39" s="44">
        <f>IFERROR(AVERAGEIFS('RD Condos'!$D:$D,'RD Condos'!$Q:$Q,"1",'RD Condos'!$A:$A,1),"")</f>
        <v/>
      </c>
      <c r="O39" s="45">
        <f>IFERROR(AVERAGEIFS('RD Condos'!$F:$F,'RD Condos'!$Q:$Q,"1",'RD Condos'!$A:$A,1),"")</f>
        <v/>
      </c>
      <c r="P39" s="37">
        <f>COUNTIFS('RD Condos'!$Q:$Q,"1+1",'RD Condos'!$A:$A,1)</f>
        <v/>
      </c>
      <c r="Q39" s="43">
        <f>IFERROR(AVERAGEIFS('RD Condos'!$B:$B,'RD Condos'!$Q:$Q,"1+1",'RD Condos'!$A:$A,1),"")</f>
        <v/>
      </c>
      <c r="R39" s="44">
        <f>IFERROR(AVERAGEIFS('RD Condos'!$D:$D,'RD Condos'!$Q:$Q,"1+1",'RD Condos'!$A:$A,1),"")</f>
        <v/>
      </c>
      <c r="S39" s="45">
        <f>IFERROR(AVERAGEIFS('RD Condos'!$F:$F,'RD Condos'!$Q:$Q,"1+1",'RD Condos'!$A:$A,1),"")</f>
        <v/>
      </c>
      <c r="T39" s="37">
        <f>COUNTIFS('RD Condos'!$H:$H,"2",'RD Condos'!$A:$A,1)</f>
        <v/>
      </c>
      <c r="U39" s="43">
        <f>IFERROR(AVERAGEIFS('RD Condos'!$B:$B,'RD Condos'!$H:$H,"2",'RD Condos'!$A:$A,1),"")</f>
        <v/>
      </c>
      <c r="V39" s="44">
        <f>IFERROR(AVERAGEIFS('RD Condos'!$D:$D,'RD Condos'!$H:$H,"2",'RD Condos'!$A:$A,1),"")</f>
        <v/>
      </c>
      <c r="W39" s="45">
        <f>IFERROR(AVERAGEIFS('RD Condos'!$F:$F,'RD Condos'!$H:$H,"2",'RD Condos'!$A:$A,1),"")</f>
        <v/>
      </c>
      <c r="X39" s="37">
        <f>COUNTIFS('RD Condos'!$H:$H,"3",'RD Condos'!$A:$A,1)</f>
        <v/>
      </c>
      <c r="Y39" s="43">
        <f>IFERROR(AVERAGEIFS('RD Condos'!$B:$B,'RD Condos'!$H:$H,"3",'RD Condos'!$A:$A,1),"")</f>
        <v/>
      </c>
      <c r="Z39" s="44">
        <f>IFERROR(AVERAGEIFS('RD Condos'!$D:$D,'RD Condos'!$H:$H,"3",'RD Condos'!$A:$A,1),"")</f>
        <v/>
      </c>
      <c r="AA39" s="45">
        <f>IFERROR(AVERAGEIFS('RD Condos'!$F:$F,'RD Condos'!$H:$H,"3",'RD Condos'!$A:$A,1),"")</f>
        <v/>
      </c>
    </row>
    <row r="40" ht="15" customHeight="1" s="38">
      <c r="B40" s="37" t="inlineStr">
        <is>
          <t>3-Bed</t>
        </is>
      </c>
      <c r="C40" s="56">
        <f>Data_Summary!C28</f>
        <v/>
      </c>
      <c r="D40" s="84">
        <f>Data_Summary!F28</f>
        <v/>
      </c>
      <c r="K40" s="37" t="inlineStr">
        <is>
          <t>Low</t>
        </is>
      </c>
      <c r="M40" s="43" t="n"/>
      <c r="N40" s="44" t="n"/>
      <c r="O40" s="45">
        <f>SUMPRODUCT(MIN(IF((('RD Condos'!$Q$2:$Q$120="1")*('RD Condos'!$A$2:$A$120=1)),'RD Condos'!$F$2:$F$120)))</f>
        <v/>
      </c>
      <c r="Q40" s="43" t="n"/>
      <c r="R40" s="44" t="n"/>
      <c r="S40" s="45">
        <f>SUMPRODUCT(MIN(IF((('RD Condos'!$Q$2:$Q$120="1+1")*('RD Condos'!$A$2:$A$120=1)),'RD Condos'!$F$2:$F$120)))</f>
        <v/>
      </c>
      <c r="U40" s="43" t="n"/>
      <c r="V40" s="44" t="n"/>
      <c r="W40" s="45">
        <f>SUMPRODUCT(MIN(IF((('RD Condos'!$H$2:$H$120="2")*('RD Condos'!$A$2:$A$120=1)),'RD Condos'!$F$2:$F$120)))</f>
        <v/>
      </c>
      <c r="Y40" s="43" t="n"/>
      <c r="Z40" s="44" t="n"/>
      <c r="AA40" s="45">
        <f>SUMPRODUCT(MIN(IF((('RD Condos'!$H$2:$H$120="3")*('RD Condos'!$A$2:$A$120=1)),'RD Condos'!$F$2:$F$120)))</f>
        <v/>
      </c>
    </row>
    <row r="41" ht="15" customHeight="1" s="38">
      <c r="K41" s="37" t="inlineStr">
        <is>
          <t>High</t>
        </is>
      </c>
      <c r="M41" s="43" t="n"/>
      <c r="N41" s="44" t="n"/>
      <c r="O41" s="45">
        <f>SUMPRODUCT(MAX(IF((('RD Condos'!$Q$2:$Q$120="1")*('RD Condos'!$A$2:$A$120=1)),'RD Condos'!$F$2:$F$120)))</f>
        <v/>
      </c>
      <c r="Q41" s="43" t="n"/>
      <c r="R41" s="44" t="n"/>
      <c r="S41" s="45">
        <f>SUMPRODUCT(MAX(IF((('RD Condos'!$Q$2:$Q$120="1+1")*('RD Condos'!$A$2:$A$120=1)),'RD Condos'!$F$2:$F$120)))</f>
        <v/>
      </c>
      <c r="U41" s="43" t="n"/>
      <c r="V41" s="44" t="n"/>
      <c r="W41" s="45">
        <f>SUMPRODUCT(MAX(IF((('RD Condos'!$H$2:$H$120="2")*('RD Condos'!$A$2:$A$120=1)),'RD Condos'!$F$2:$F$120)))</f>
        <v/>
      </c>
      <c r="Y41" s="43" t="n"/>
      <c r="Z41" s="44" t="n"/>
      <c r="AA41" s="45">
        <f>SUMPRODUCT(MAX(IF((('RD Condos'!$H$2:$H$120="3")*('RD Condos'!$A$2:$A$120=1)),'RD Condos'!$F$2:$F$120)))</f>
        <v/>
      </c>
    </row>
    <row r="42"/>
    <row r="43" ht="15" customHeight="1" s="38">
      <c r="B43" s="53" t="inlineStr">
        <is>
          <t>COMP-QUALITY SCORES (Claude judgment, /10 — not a source figure)</t>
        </is>
      </c>
      <c r="K43" s="37" t="inlineStr">
        <is>
          <t>PBR Premium</t>
        </is>
      </c>
      <c r="O43" s="47">
        <f>Data_Summary!C4</f>
        <v/>
      </c>
      <c r="S43" s="47">
        <f>Data_Summary!C4</f>
        <v/>
      </c>
      <c r="W43" s="47">
        <f>Data_Summary!C4</f>
        <v/>
      </c>
      <c r="AA43" s="47">
        <f>Data_Summary!C4</f>
        <v/>
      </c>
    </row>
    <row r="44" ht="15" customHeight="1" s="38">
      <c r="B44" s="53" t="inlineStr">
        <is>
          <t>Building</t>
        </is>
      </c>
      <c r="C44" s="53" t="inlineStr">
        <is>
          <t>Score /10</t>
        </is>
      </c>
      <c r="D44" s="53" t="inlineStr">
        <is>
          <t>Role</t>
        </is>
      </c>
      <c r="E44" s="53" t="inlineStr">
        <is>
          <t>Why</t>
        </is>
      </c>
      <c r="K44" s="48" t="inlineStr">
        <is>
          <t>Weighted Avg.</t>
        </is>
      </c>
      <c r="M44" s="43" t="n"/>
      <c r="N44" s="44">
        <f>IFERROR(N39*(1+O43),"")</f>
        <v/>
      </c>
      <c r="O44" s="45">
        <f>IFERROR(O39*(1+O43),"")</f>
        <v/>
      </c>
      <c r="Q44" s="43" t="n"/>
      <c r="R44" s="44">
        <f>IFERROR(R39*(1+S43),"")</f>
        <v/>
      </c>
      <c r="S44" s="45">
        <f>IFERROR(S39*(1+S43),"")</f>
        <v/>
      </c>
      <c r="U44" s="43" t="n"/>
      <c r="V44" s="44">
        <f>IFERROR(V39*(1+W43),"")</f>
        <v/>
      </c>
      <c r="W44" s="45">
        <f>IFERROR(W39*(1+W43),"")</f>
        <v/>
      </c>
      <c r="Y44" s="43" t="n"/>
      <c r="Z44" s="44">
        <f>IFERROR(Z39*(1+AA43),"")</f>
        <v/>
      </c>
      <c r="AA44" s="45">
        <f>IFERROR(AA39*(1+AA43),"")</f>
        <v/>
      </c>
    </row>
    <row r="45" ht="15" customHeight="1" s="38">
      <c r="B45" s="37" t="inlineStr">
        <is>
          <t>Concord Canada House</t>
        </is>
      </c>
      <c r="C45" s="37" t="n">
        <v>10</v>
      </c>
      <c r="D45" s="37" t="inlineStr">
        <is>
          <t>PRIMARY</t>
        </is>
      </c>
      <c r="E45" s="37" t="inlineStr">
        <is>
          <t>Newest (2025), on Spadina, deepest fresh-lease depth — ideal vintage/location match.</t>
        </is>
      </c>
      <c r="K45" s="48" t="inlineStr">
        <is>
          <t>Weighted Avg. Building Total (Comps)</t>
        </is>
      </c>
      <c r="L45" s="44">
        <f>IFERROR((N39*Data_Summary!$T$3+R39*Data_Summary!$T$4+V39*Data_Summary!$T$5+Z39*Data_Summary!$T$6)*Data_Summary!$T$2,"")</f>
        <v/>
      </c>
    </row>
    <row r="46">
      <c r="B46" s="37" t="inlineStr">
        <is>
          <t>Nobu Residences</t>
        </is>
      </c>
      <c r="C46" s="37" t="n">
        <v>8</v>
      </c>
      <c r="D46" s="37" t="inlineStr">
        <is>
          <t>secondary</t>
        </is>
      </c>
      <c r="E46" s="37" t="inlineStr">
        <is>
          <t>2024 King West luxury condo; close vintage, slightly different micro-market.</t>
        </is>
      </c>
    </row>
    <row r="47" ht="15" customHeight="1" s="38">
      <c r="B47" s="37" t="inlineStr">
        <is>
          <t>The Well</t>
        </is>
      </c>
      <c r="C47" s="37" t="n">
        <v>8</v>
      </c>
      <c r="D47" s="37" t="inlineStr">
        <is>
          <t>secondary</t>
        </is>
      </c>
      <c r="E47" s="37" t="inlineStr">
        <is>
          <t>2024 mixed-use flagship; strong vintage match; SF often bracket-only (recover via Route A).</t>
        </is>
      </c>
      <c r="K47" s="58" t="inlineStr">
        <is>
          <t>Subject Property (Using Comp $ Rent)</t>
        </is>
      </c>
      <c r="M47" s="43" t="n"/>
      <c r="N47" s="44">
        <f>IFERROR(N44,"")</f>
        <v/>
      </c>
      <c r="O47" s="45" t="n"/>
      <c r="Q47" s="43" t="n"/>
      <c r="R47" s="44">
        <f>IFERROR(R44,"")</f>
        <v/>
      </c>
      <c r="S47" s="45" t="n"/>
      <c r="U47" s="43" t="n"/>
      <c r="V47" s="44">
        <f>IFERROR(V44,"")</f>
        <v/>
      </c>
      <c r="W47" s="45" t="n"/>
      <c r="Y47" s="43" t="n"/>
      <c r="Z47" s="44">
        <f>IFERROR(Z44,"")</f>
        <v/>
      </c>
      <c r="AA47" s="45" t="n"/>
    </row>
    <row r="48" ht="15" customHeight="1" s="38">
      <c r="B48" s="37" t="inlineStr">
        <is>
          <t>Ten York</t>
        </is>
      </c>
      <c r="C48" s="37" t="n">
        <v>7</v>
      </c>
      <c r="D48" s="37" t="inlineStr">
        <is>
          <t>secondary</t>
        </is>
      </c>
      <c r="E48" s="37" t="inlineStr">
        <is>
          <t>2019 waterfront; good location, mid vintage.</t>
        </is>
      </c>
      <c r="K48" s="58" t="inlineStr">
        <is>
          <t>Subject Property Rent Building Total</t>
        </is>
      </c>
      <c r="L48" s="44">
        <f>IFERROR((N47*Data_Summary!$T$3+R47*Data_Summary!$T$4+V47*Data_Summary!$T$5+Z47*Data_Summary!$T$6)*Data_Summary!$T$2,"")</f>
        <v/>
      </c>
    </row>
    <row r="49">
      <c r="B49" s="37" t="inlineStr">
        <is>
          <t>Forward Condos</t>
        </is>
      </c>
      <c r="C49" s="37" t="n">
        <v>7</v>
      </c>
      <c r="D49" s="37" t="inlineStr">
        <is>
          <t>secondary</t>
        </is>
      </c>
      <c r="E49" s="37" t="inlineStr">
        <is>
          <t>2018 CityPlace; same submarket, older.</t>
        </is>
      </c>
    </row>
    <row r="50" ht="15" customHeight="1" s="38">
      <c r="B50" s="37" t="inlineStr">
        <is>
          <t>Library District</t>
        </is>
      </c>
      <c r="C50" s="37" t="n">
        <v>6</v>
      </c>
      <c r="D50" s="37" t="inlineStr">
        <is>
          <t>supporting</t>
        </is>
      </c>
      <c r="E50" s="37" t="inlineStr">
        <is>
          <t>2014 CityPlace; relevant submarket, older vintage.</t>
        </is>
      </c>
      <c r="K50" s="58" t="inlineStr">
        <is>
          <t>Subject Property (Using Comp PSF Rent)</t>
        </is>
      </c>
      <c r="M50" s="43" t="n"/>
      <c r="N50" s="44">
        <f>IFERROR(O44*M39,"")</f>
        <v/>
      </c>
      <c r="O50" s="45" t="n"/>
      <c r="Q50" s="43" t="n"/>
      <c r="R50" s="44">
        <f>IFERROR(S44*Q39,"")</f>
        <v/>
      </c>
      <c r="S50" s="45" t="n"/>
      <c r="U50" s="43" t="n"/>
      <c r="V50" s="44">
        <f>IFERROR(W44*U39,"")</f>
        <v/>
      </c>
      <c r="W50" s="45" t="n"/>
      <c r="Y50" s="43" t="n"/>
      <c r="Z50" s="44">
        <f>IFERROR(AA44*Y39,"")</f>
        <v/>
      </c>
      <c r="AA50" s="45" t="n"/>
    </row>
    <row r="51" ht="15" customHeight="1" s="38">
      <c r="B51" s="37" t="inlineStr">
        <is>
          <t>Quartz/Spectra</t>
        </is>
      </c>
      <c r="C51" s="37" t="n">
        <v>5</v>
      </c>
      <c r="D51" s="37" t="inlineStr">
        <is>
          <t>supporting</t>
        </is>
      </c>
      <c r="E51" s="37" t="inlineStr">
        <is>
          <t>2015 CityPlace; SF bracket-only on condos.ca -&gt; 0 verified SF (Route A pending).</t>
        </is>
      </c>
      <c r="K51" s="58" t="inlineStr">
        <is>
          <t>Subject Property PSF Rent Building Total</t>
        </is>
      </c>
      <c r="L51" s="44">
        <f>IFERROR((N50*Data_Summary!$T$3+R50*Data_Summary!$T$4+V50*Data_Summary!$T$5+Z50*Data_Summary!$T$6)*Data_Summary!$T$2,"")</f>
        <v/>
      </c>
    </row>
    <row r="52">
      <c r="B52" s="37" t="inlineStr">
        <is>
          <t>N1 | N2 - CityPlace</t>
        </is>
      </c>
      <c r="C52" s="37" t="n">
        <v>5</v>
      </c>
      <c r="D52" s="37" t="inlineStr">
        <is>
          <t>supporting</t>
        </is>
      </c>
      <c r="E52" s="37" t="inlineStr">
        <is>
          <t>2008 CityPlace; same area, thin verified depth.</t>
        </is>
      </c>
    </row>
    <row r="53" ht="15" customHeight="1" s="38">
      <c r="B53" s="37" t="inlineStr">
        <is>
          <t>Aqua</t>
        </is>
      </c>
      <c r="C53" s="37" t="n">
        <v>5</v>
      </c>
      <c r="D53" s="37" t="inlineStr">
        <is>
          <t>supporting</t>
        </is>
      </c>
      <c r="E53" s="37" t="inlineStr">
        <is>
          <t>2003 waterfront; sets the older-vintage floor.</t>
        </is>
      </c>
      <c r="K53" s="58" t="inlineStr">
        <is>
          <t>Subject Property Rent</t>
        </is>
      </c>
      <c r="M53" s="43" t="n"/>
      <c r="N53" s="44">
        <f>IFERROR(AVERAGE(N47,N50),"")</f>
        <v/>
      </c>
      <c r="O53" s="45" t="n"/>
      <c r="Q53" s="43" t="n"/>
      <c r="R53" s="44">
        <f>IFERROR(AVERAGE(R47,R50),"")</f>
        <v/>
      </c>
      <c r="S53" s="45" t="n"/>
      <c r="U53" s="43" t="n"/>
      <c r="V53" s="44">
        <f>IFERROR(AVERAGE(V47,V50),"")</f>
        <v/>
      </c>
      <c r="W53" s="45" t="n"/>
      <c r="Y53" s="43" t="n"/>
      <c r="Z53" s="44">
        <f>IFERROR(AVERAGE(Z47,Z50),"")</f>
        <v/>
      </c>
      <c r="AA53" s="45" t="n"/>
    </row>
    <row r="54" ht="15" customHeight="1" s="38">
      <c r="B54" s="53" t="inlineStr">
        <is>
          <t>Evaluated &amp; excluded (different micro-market / farther / redundant):</t>
        </is>
      </c>
      <c r="K54" s="58" t="inlineStr">
        <is>
          <t>Subject Property Rent Building Total</t>
        </is>
      </c>
      <c r="L54" s="44">
        <f>IFERROR((N53*Data_Summary!$T$3+R53*Data_Summary!$T$4+V53*Data_Summary!$T$5+Z53*Data_Summary!$T$6)*Data_Summary!$T$2,"")</f>
        <v/>
      </c>
    </row>
    <row r="55">
      <c r="B55" s="37" t="inlineStr">
        <is>
          <t>Sugar Wharf</t>
        </is>
      </c>
      <c r="C55" s="37" t="n">
        <v>3</v>
      </c>
      <c r="D55" s="37" t="inlineStr">
        <is>
          <t>excluded</t>
        </is>
      </c>
      <c r="E55" s="37" t="inlineStr">
        <is>
          <t>2023 but different micro-market (Lake Shore E).</t>
        </is>
      </c>
    </row>
    <row r="56" ht="15" customHeight="1" s="38">
      <c r="B56" s="37" t="inlineStr">
        <is>
          <t>Lighthouse / Aquabella / Aqualuna</t>
        </is>
      </c>
      <c r="C56" s="37" t="n">
        <v>3</v>
      </c>
      <c r="D56" s="37" t="inlineStr">
        <is>
          <t>excluded</t>
        </is>
      </c>
      <c r="E56" s="37" t="inlineStr">
        <is>
          <t>East Bayfront, ~2.5 km — too far.</t>
        </is>
      </c>
      <c r="K56" s="37" t="inlineStr">
        <is>
          <t>Regression:</t>
        </is>
      </c>
    </row>
    <row r="57" ht="15" customHeight="1" s="38">
      <c r="B57" s="37" t="inlineStr">
        <is>
          <t>Bisha / King Blue / Theatre Park</t>
        </is>
      </c>
      <c r="C57" s="37" t="n">
        <v>2</v>
      </c>
      <c r="D57" s="37" t="inlineStr">
        <is>
          <t>excluded</t>
        </is>
      </c>
      <c r="E57" s="37" t="inlineStr">
        <is>
          <t>Entertainment District — different submarket.</t>
        </is>
      </c>
      <c r="K57" s="37" t="inlineStr">
        <is>
          <t>Coefficients:</t>
        </is>
      </c>
    </row>
    <row r="58" ht="15" customHeight="1" s="38">
      <c r="B58" s="37" t="inlineStr">
        <is>
          <t>Older CityPlace (Optima/Apex/Montage/Neo/Luna/Parade/West One/Harbour View)</t>
        </is>
      </c>
      <c r="C58" s="37" t="n">
        <v>3</v>
      </c>
      <c r="D58" s="37" t="inlineStr">
        <is>
          <t>excluded</t>
        </is>
      </c>
      <c r="E58" s="37" t="inlineStr">
        <is>
          <t>Redundant — floor already set by included CityPlace comps.</t>
        </is>
      </c>
      <c r="K58" s="37" t="inlineStr">
        <is>
          <t>Total Building coefficient</t>
        </is>
      </c>
      <c r="L58" s="59" t="n">
        <v>0</v>
      </c>
      <c r="M58" s="50" t="inlineStr">
        <is>
          <t>← optional external regression input (Predictor); 0 = unused</t>
        </is>
      </c>
    </row>
    <row r="59"/>
    <row r="60" ht="15" customHeight="1" s="38">
      <c r="N60" s="37" t="inlineStr">
        <is>
          <t>Unadjusted</t>
        </is>
      </c>
      <c r="V60" s="37" t="inlineStr">
        <is>
          <t>Unadjusted</t>
        </is>
      </c>
      <c r="Z60" s="37" t="inlineStr">
        <is>
          <t>Unadjusted</t>
        </is>
      </c>
    </row>
    <row r="61" ht="15" customHeight="1" s="38">
      <c r="K61" s="46" t="inlineStr">
        <is>
          <t>TRREB Data (Q1 2026)</t>
        </is>
      </c>
      <c r="N61" s="37" t="inlineStr">
        <is>
          <t>Rent (1BR)</t>
        </is>
      </c>
      <c r="V61" s="37" t="inlineStr">
        <is>
          <t>Rent (2BR)</t>
        </is>
      </c>
      <c r="Z61" s="37" t="inlineStr">
        <is>
          <t>Rent (3BR)</t>
        </is>
      </c>
    </row>
    <row r="62" ht="15" customHeight="1" s="38">
      <c r="K62" s="37" t="inlineStr">
        <is>
          <t>Toronto C01</t>
        </is>
      </c>
      <c r="N62" s="60" t="n">
        <v>2438</v>
      </c>
      <c r="P62" s="50" t="inlineStr">
        <is>
          <t>← TRREB Q1-2026 Rental Market Report (district C01 / City of Toronto / YoY), read 2026-06-16</t>
        </is>
      </c>
      <c r="V62" s="60" t="n">
        <v>3431</v>
      </c>
      <c r="Z62" s="60" t="n">
        <v>4591</v>
      </c>
    </row>
    <row r="63" ht="15" customHeight="1" s="38">
      <c r="K63" s="37" t="inlineStr">
        <is>
          <t>City of Toronto</t>
        </is>
      </c>
      <c r="N63" s="60" t="n">
        <v>2292</v>
      </c>
      <c r="V63" s="60" t="n">
        <v>3091</v>
      </c>
      <c r="Z63" s="60" t="n">
        <v>3866</v>
      </c>
    </row>
    <row r="64" ht="15" customHeight="1" s="38">
      <c r="K64" s="37" t="inlineStr">
        <is>
          <t>YoY Change (GTA)</t>
        </is>
      </c>
      <c r="N64" s="61" t="n">
        <v>-0.041</v>
      </c>
      <c r="V64" s="61" t="n">
        <v>-0.032</v>
      </c>
      <c r="Z64" s="61" t="n">
        <v>-0.027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8" customWidth="1" style="37" min="1" max="1"/>
    <col width="15" customWidth="1" style="37" min="2" max="4"/>
    <col width="12" customWidth="1" style="37" min="5" max="5"/>
  </cols>
  <sheetData>
    <row r="1" ht="15" customHeight="1" s="38">
      <c r="A1" s="62" t="inlineStr">
        <is>
          <t>★  TLDR — RECOMMENDED RENT · 10 Lower Spadina Condos</t>
        </is>
      </c>
    </row>
    <row r="2" ht="15" customHeight="1" s="38">
      <c r="A2" s="63" t="inlineStr">
        <is>
          <t>Subject = brand-new (2029-30) waterfront condo. Recommended rent = newest-comp evidence (Concord Canada House 2025, on Spadina) grossed up by a new-build/lease-up premium. Confidence: HIGH on comps; premium is a tunable judgment.</t>
        </is>
      </c>
    </row>
    <row r="3"/>
    <row r="4" ht="15" customHeight="1" s="38">
      <c r="A4" s="37" t="inlineStr">
        <is>
          <t>RECOMMENDED SUBJECT RENT ($/SF)</t>
        </is>
      </c>
      <c r="C4" s="64">
        <f>Data_Summary!$C$34</f>
        <v/>
      </c>
    </row>
    <row r="5" ht="15" customHeight="1" s="38">
      <c r="A5" s="50" t="inlineStr">
        <is>
          <t>Basis: Concord Canada House comp $/SF × (1 + premium Data_Summary!C4)</t>
        </is>
      </c>
    </row>
    <row r="6" ht="15" customHeight="1" s="38">
      <c r="A6" s="37" t="inlineStr">
        <is>
          <t>Conservative basis (all-comp + premium)</t>
        </is>
      </c>
      <c r="C6" s="65">
        <f>Data_Summary!$C$35</f>
        <v/>
      </c>
    </row>
    <row r="7"/>
    <row r="8" ht="15" customHeight="1" s="38">
      <c r="A8" s="37" t="inlineStr">
        <is>
          <t>RECOMMENDED MONTHLY RENT — by suite type (subject = Concord comp + premium)</t>
        </is>
      </c>
    </row>
    <row r="9" ht="26.85" customHeight="1" s="38">
      <c r="A9" s="40" t="inlineStr">
        <is>
          <t>Suite type</t>
        </is>
      </c>
      <c r="B9" s="40" t="inlineStr">
        <is>
          <t>Avg SF</t>
        </is>
      </c>
      <c r="C9" s="40" t="inlineStr">
        <is>
          <t>Recommended Rent</t>
        </is>
      </c>
    </row>
    <row r="10" ht="15" customHeight="1" s="38">
      <c r="A10" s="37" t="inlineStr">
        <is>
          <t>1-Bed / 1+Den</t>
        </is>
      </c>
      <c r="B10" s="43">
        <f>Data_Summary!C26</f>
        <v/>
      </c>
      <c r="C10" s="66">
        <f>Data_Summary!F26</f>
        <v/>
      </c>
    </row>
    <row r="11" ht="15" customHeight="1" s="38">
      <c r="A11" s="37" t="inlineStr">
        <is>
          <t>2-Bed</t>
        </is>
      </c>
      <c r="B11" s="43">
        <f>Data_Summary!C27</f>
        <v/>
      </c>
      <c r="C11" s="66">
        <f>Data_Summary!F27</f>
        <v/>
      </c>
    </row>
    <row r="12" ht="15" customHeight="1" s="38">
      <c r="A12" s="37" t="inlineStr">
        <is>
          <t>3-Bed</t>
        </is>
      </c>
      <c r="B12" s="43">
        <f>Data_Summary!C28</f>
        <v/>
      </c>
      <c r="C12" s="66">
        <f>Data_Summary!F28</f>
        <v/>
      </c>
    </row>
    <row r="13"/>
    <row r="14" ht="15" customHeight="1" s="38">
      <c r="A14" s="37" t="inlineStr">
        <is>
          <t>Custom suite — enter size (sq ft) →</t>
        </is>
      </c>
      <c r="D14" s="67" t="n">
        <v>700</v>
      </c>
    </row>
    <row r="15" ht="15" customHeight="1" s="38">
      <c r="A15" s="37" t="inlineStr">
        <is>
          <t>Implied rent @ recommended subject $/SF</t>
        </is>
      </c>
      <c r="D15" s="66">
        <f>IFERROR(D14*Data_Summary!$C$34,"")</f>
        <v/>
      </c>
    </row>
    <row r="16" ht="15" customHeight="1" s="38">
      <c r="A16" s="37" t="inlineStr">
        <is>
          <t>Implied rent @ raw comp $/SF (no premium)</t>
        </is>
      </c>
      <c r="D16" s="44">
        <f>IFERROR(D14*Data_Summary!$C$31,"")</f>
        <v/>
      </c>
    </row>
    <row r="17"/>
    <row r="18" ht="15" customHeight="1" s="38">
      <c r="A18" s="68" t="inlineStr">
        <is>
          <t>WHY / BRIDGE</t>
        </is>
      </c>
    </row>
    <row r="19" ht="15" customHeight="1" s="38">
      <c r="A19" s="37" t="inlineStr">
        <is>
          <t>Current-market comp $/SF — Concord Canada House (2025/2026 leases)</t>
        </is>
      </c>
      <c r="C19" s="45">
        <f>Data_Summary!$C$31</f>
        <v/>
      </c>
      <c r="D19" s="50" t="inlineStr">
        <is>
          <t>market evidence today</t>
        </is>
      </c>
    </row>
    <row r="20" ht="15" customHeight="1" s="38">
      <c r="A20" s="37" t="inlineStr">
        <is>
          <t>Plus — new-build / lease-up premium</t>
        </is>
      </c>
      <c r="C20" s="47">
        <f>Data_Summary!C4</f>
        <v/>
      </c>
      <c r="D20" s="50" t="inlineStr">
        <is>
          <t>judgment lever (tunable)</t>
        </is>
      </c>
    </row>
    <row r="21" ht="15" customHeight="1" s="38">
      <c r="A21" s="37" t="inlineStr">
        <is>
          <t>Recommended subject $/SF</t>
        </is>
      </c>
      <c r="C21" s="64">
        <f>Data_Summary!$C$34</f>
        <v/>
      </c>
      <c r="D21" s="50" t="inlineStr">
        <is>
          <t>this workbook</t>
        </is>
      </c>
    </row>
    <row r="22" ht="15" customHeight="1" s="38">
      <c r="A22" s="37" t="inlineStr">
        <is>
          <t>All-comp basis $/SF (blend of 9, 2003-2025)</t>
        </is>
      </c>
      <c r="C22" s="45">
        <f>Data_Summary!$C$32</f>
        <v/>
      </c>
      <c r="D22" s="50" t="inlineStr">
        <is>
          <t>conservative floor</t>
        </is>
      </c>
    </row>
    <row r="23"/>
    <row r="24" ht="15" customHeight="1" s="38">
      <c r="A24" s="50" t="inlineStr">
        <is>
          <t>TRREB Q1-2026 context — Toronto C01 avg apt rent: 1BR $2,438 · 2BR $3,431 · 3BR $4,591 (City of Toronto 1BR $2,292; GTA YoY -4.1%/-3.2%/-2.7%).</t>
        </is>
      </c>
    </row>
    <row r="25"/>
    <row r="26"/>
    <row r="27" ht="15" customHeight="1" s="38">
      <c r="A27" s="37" t="inlineStr">
        <is>
          <t>Confidence colours (Raw Data / Building Summary):</t>
        </is>
      </c>
    </row>
    <row r="28" ht="15" customHeight="1" s="38">
      <c r="A28" s="69" t="inlineStr">
        <is>
          <t>High = leased in-window, SF verified per-unit</t>
        </is>
      </c>
    </row>
    <row r="29" ht="15" customHeight="1" s="38">
      <c r="A29" s="70" t="inlineStr">
        <is>
          <t>Med = active/asking, older lease, or minor SF caveat</t>
        </is>
      </c>
    </row>
    <row r="30" ht="15" customHeight="1" s="38">
      <c r="A30" s="71" t="inlineStr">
        <is>
          <t>Low/excluded = SF bracket-only (no registered area) or partial/outlier</t>
        </is>
      </c>
    </row>
    <row r="31"/>
    <row r="32" ht="15" customHeight="1" s="38">
      <c r="A32" s="68" t="inlineStr">
        <is>
          <t>Comp-derived detail (raw $/SF, before premium)</t>
        </is>
      </c>
    </row>
    <row r="33" ht="26.85" customHeight="1" s="38">
      <c r="A33" s="40" t="inlineStr">
        <is>
          <t>Benchmark</t>
        </is>
      </c>
      <c r="B33" s="40" t="inlineStr">
        <is>
          <t>Avg SF</t>
        </is>
      </c>
      <c r="C33" s="40" t="inlineStr">
        <is>
          <t>Avg Leased Rent</t>
        </is>
      </c>
      <c r="D33" s="40" t="inlineStr">
        <is>
          <t>Avg $/SF</t>
        </is>
      </c>
      <c r="E33" s="40" t="inlineStr">
        <is>
          <t>Note</t>
        </is>
      </c>
    </row>
    <row r="34" ht="15" customHeight="1" s="38">
      <c r="A34" s="37" t="inlineStr">
        <is>
          <t>Concord Canada House (newest, 2025) — PRIMARY</t>
        </is>
      </c>
      <c r="B34" s="43">
        <f>'Building Summary'!K4</f>
        <v/>
      </c>
      <c r="C34" s="44">
        <f>'Building Summary'!L4</f>
        <v/>
      </c>
      <c r="D34" s="72">
        <f>'Building Summary'!M4</f>
        <v/>
      </c>
      <c r="E34" s="37" t="inlineStr">
        <is>
          <t>PRIMARY</t>
        </is>
      </c>
    </row>
    <row r="35" ht="15" customHeight="1" s="38">
      <c r="A35" s="37" t="inlineStr">
        <is>
          <t>1-Bed (all comps, den-incl.)</t>
        </is>
      </c>
      <c r="B35" s="43">
        <f>Data_Summary!C20</f>
        <v/>
      </c>
      <c r="C35" s="44">
        <f>Data_Summary!D20</f>
        <v/>
      </c>
      <c r="D35" s="73">
        <f>Data_Summary!E20</f>
        <v/>
      </c>
    </row>
    <row r="36" ht="15" customHeight="1" s="38">
      <c r="A36" s="37" t="inlineStr">
        <is>
          <t>2-Bed (all comps)</t>
        </is>
      </c>
      <c r="B36" s="43">
        <f>Data_Summary!C21</f>
        <v/>
      </c>
      <c r="C36" s="44">
        <f>Data_Summary!D21</f>
        <v/>
      </c>
      <c r="D36" s="73">
        <f>Data_Summary!E21</f>
        <v/>
      </c>
    </row>
    <row r="37" ht="15" customHeight="1" s="38">
      <c r="A37" s="37" t="inlineStr">
        <is>
          <t>3-Bed (all comps)</t>
        </is>
      </c>
      <c r="B37" s="43">
        <f>Data_Summary!C22</f>
        <v/>
      </c>
      <c r="C37" s="44">
        <f>Data_Summary!D22</f>
        <v/>
      </c>
      <c r="D37" s="73">
        <f>Data_Summary!E22</f>
        <v/>
      </c>
    </row>
    <row r="38"/>
    <row r="39" ht="15" customHeight="1" s="38">
      <c r="A39" s="50" t="inlineStr">
        <is>
          <t>• Subject: 10 Lower Spadina Condos — Arkfield, 49 storeys / 511 suites, 10 Lower Spadina Ave, Waterfront/C01 (Planning Phase; no plans or leases of its own yet).</t>
        </is>
      </c>
    </row>
    <row r="40" ht="15" customHeight="1" s="38">
      <c r="A40" s="50" t="inlineStr">
        <is>
          <t>• All 9 comps are condos; apartment premium (C3) unused. Comp set user-confirmed 2026-06-16 (all 9).</t>
        </is>
      </c>
    </row>
    <row r="41" ht="15" customHeight="1" s="38">
      <c r="A41" s="50" t="inlineStr">
        <is>
          <t>• SF verified per-unit (condos.ca registered area) for 39 leased comps. Quartz/Spectra + some The Well units are SF bracket-only on condos.ca → recorded as context (Include=0), excluded from $/SF.</t>
        </is>
      </c>
    </row>
    <row r="42" ht="15" customHeight="1" s="38">
      <c r="A42" s="50" t="inlineStr">
        <is>
          <t>• Premium (Data_Summary C4) bridges current comp $/SF to the subject; proposed 10%, tunable.</t>
        </is>
      </c>
    </row>
    <row r="43" ht="15" customHeight="1" s="38">
      <c r="A43" s="50" t="inlineStr">
        <is>
          <t>• Definitive SF source for the subject: developer suite-area schedule / registered declaration once published.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37" min="1" max="1"/>
    <col width="24" customWidth="1" style="37" min="2" max="2"/>
    <col width="18" customWidth="1" style="37" min="3" max="3"/>
    <col width="16" customWidth="1" style="37" min="4" max="4"/>
    <col width="14" customWidth="1" style="37" min="5" max="5"/>
    <col width="9" customWidth="1" style="37" min="6" max="7"/>
    <col width="8" customWidth="1" style="37" min="8" max="9"/>
    <col width="12" customWidth="1" style="37" min="10" max="10"/>
    <col width="9" customWidth="1" style="37" min="11" max="11"/>
    <col width="10" customWidth="1" style="37" min="12" max="13"/>
  </cols>
  <sheetData>
    <row r="1" ht="15" customHeight="1" s="38">
      <c r="A1" s="39" t="inlineStr">
        <is>
          <t>Comp Building Summary — 10 Lower Spadina Condos (10 Lower Spadina Ave, Waterfront/C01)</t>
        </is>
      </c>
    </row>
    <row r="2"/>
    <row r="3" ht="26.85" customHeight="1" s="38">
      <c r="A3" s="40" t="inlineStr">
        <is>
          <t>Building</t>
        </is>
      </c>
      <c r="B3" s="40" t="inlineStr">
        <is>
          <t>Address</t>
        </is>
      </c>
      <c r="C3" s="40" t="inlineStr">
        <is>
          <t>Area</t>
        </is>
      </c>
      <c r="D3" s="40" t="inlineStr">
        <is>
          <t>Developer</t>
        </is>
      </c>
      <c r="E3" s="40" t="inlineStr">
        <is>
          <t>First Occupancy</t>
        </is>
      </c>
      <c r="F3" s="40" t="inlineStr">
        <is>
          <t>Yr Built</t>
        </is>
      </c>
      <c r="G3" s="40" t="inlineStr">
        <is>
          <t>Product</t>
        </is>
      </c>
      <c r="H3" s="40" t="inlineStr">
        <is>
          <t>Storeys</t>
        </is>
      </c>
      <c r="I3" s="40" t="inlineStr">
        <is>
          <t>Units</t>
        </is>
      </c>
      <c r="J3" s="40" t="inlineStr">
        <is>
          <t>Transaction Count</t>
        </is>
      </c>
      <c r="K3" s="40" t="inlineStr">
        <is>
          <t>Avg SF</t>
        </is>
      </c>
      <c r="L3" s="40" t="inlineStr">
        <is>
          <t>Avg Rent</t>
        </is>
      </c>
      <c r="M3" s="40" t="inlineStr">
        <is>
          <t>Avg $/SF</t>
        </is>
      </c>
    </row>
    <row r="4" ht="15" customHeight="1" s="38">
      <c r="A4" s="37" t="inlineStr">
        <is>
          <t>Concord Canada House</t>
        </is>
      </c>
      <c r="B4" s="37" t="inlineStr">
        <is>
          <t>23 Spadina Ave</t>
        </is>
      </c>
      <c r="C4" s="37" t="inlineStr">
        <is>
          <t>CityPlace / Waterfront</t>
        </is>
      </c>
      <c r="D4" s="37" t="inlineStr">
        <is>
          <t>Concord Adex</t>
        </is>
      </c>
      <c r="E4" s="37" t="n">
        <v>2025</v>
      </c>
      <c r="F4" s="37" t="n">
        <v>2025</v>
      </c>
      <c r="G4" s="37" t="inlineStr">
        <is>
          <t>Condo</t>
        </is>
      </c>
      <c r="H4" s="37" t="n">
        <v>72</v>
      </c>
      <c r="I4" s="37" t="n">
        <v>1394</v>
      </c>
      <c r="J4" s="37">
        <f>COUNTIFS('RD Condos'!$K:$K,$A4,'RD Condos'!$A:$A,1)</f>
        <v/>
      </c>
      <c r="K4" s="37">
        <f>IFERROR(AVERAGEIFS('RD Condos'!$B:$B,'RD Condos'!$K:$K,$A4,'RD Condos'!$A:$A,1),"")</f>
        <v/>
      </c>
      <c r="L4" s="37">
        <f>IFERROR(AVERAGEIFS('RD Condos'!$AB:$AB,'RD Condos'!$K:$K,$A4,'RD Condos'!$A:$A,1),"")</f>
        <v/>
      </c>
      <c r="M4" s="69">
        <f>IFERROR(AVERAGEIFS('RD Condos'!$E:$E,'RD Condos'!$K:$K,$A4,'RD Condos'!$A:$A,1),"")</f>
        <v/>
      </c>
    </row>
    <row r="5" ht="15" customHeight="1" s="38">
      <c r="A5" s="37" t="inlineStr">
        <is>
          <t>Nobu Residences</t>
        </is>
      </c>
      <c r="B5" s="37" t="inlineStr">
        <is>
          <t>15 Mercer St</t>
        </is>
      </c>
      <c r="C5" s="37" t="inlineStr">
        <is>
          <t>King West</t>
        </is>
      </c>
      <c r="D5" s="37" t="inlineStr">
        <is>
          <t>Madison Group</t>
        </is>
      </c>
      <c r="E5" s="37" t="n">
        <v>2024</v>
      </c>
      <c r="F5" s="37" t="n">
        <v>2024</v>
      </c>
      <c r="G5" s="37" t="inlineStr">
        <is>
          <t>Condo</t>
        </is>
      </c>
      <c r="H5" s="37" t="n">
        <v>45</v>
      </c>
      <c r="I5" s="37" t="n">
        <v>657</v>
      </c>
      <c r="J5" s="37">
        <f>COUNTIFS('RD Condos'!$K:$K,$A5,'RD Condos'!$A:$A,1)</f>
        <v/>
      </c>
      <c r="K5" s="37">
        <f>IFERROR(AVERAGEIFS('RD Condos'!$B:$B,'RD Condos'!$K:$K,$A5,'RD Condos'!$A:$A,1),"")</f>
        <v/>
      </c>
      <c r="L5" s="37">
        <f>IFERROR(AVERAGEIFS('RD Condos'!$AB:$AB,'RD Condos'!$K:$K,$A5,'RD Condos'!$A:$A,1),"")</f>
        <v/>
      </c>
      <c r="M5" s="69">
        <f>IFERROR(AVERAGEIFS('RD Condos'!$E:$E,'RD Condos'!$K:$K,$A5,'RD Condos'!$A:$A,1),"")</f>
        <v/>
      </c>
    </row>
    <row r="6" ht="15" customHeight="1" s="38">
      <c r="A6" s="37" t="inlineStr">
        <is>
          <t>The Well</t>
        </is>
      </c>
      <c r="B6" s="37" t="inlineStr">
        <is>
          <t>470-480 Front St W</t>
        </is>
      </c>
      <c r="C6" s="37" t="inlineStr">
        <is>
          <t>King West</t>
        </is>
      </c>
      <c r="D6" s="37" t="inlineStr">
        <is>
          <t>Tridel</t>
        </is>
      </c>
      <c r="E6" s="37" t="n">
        <v>2024</v>
      </c>
      <c r="F6" s="37" t="n">
        <v>2024</v>
      </c>
      <c r="G6" s="37" t="inlineStr">
        <is>
          <t>Condo</t>
        </is>
      </c>
      <c r="H6" s="37" t="n">
        <v>18</v>
      </c>
      <c r="I6" s="37" t="n">
        <v>356</v>
      </c>
      <c r="J6" s="37">
        <f>COUNTIFS('RD Condos'!$K:$K,$A6,'RD Condos'!$A:$A,1)</f>
        <v/>
      </c>
      <c r="K6" s="37">
        <f>IFERROR(AVERAGEIFS('RD Condos'!$B:$B,'RD Condos'!$K:$K,$A6,'RD Condos'!$A:$A,1),"")</f>
        <v/>
      </c>
      <c r="L6" s="37">
        <f>IFERROR(AVERAGEIFS('RD Condos'!$AB:$AB,'RD Condos'!$K:$K,$A6,'RD Condos'!$A:$A,1),"")</f>
        <v/>
      </c>
      <c r="M6" s="69">
        <f>IFERROR(AVERAGEIFS('RD Condos'!$E:$E,'RD Condos'!$K:$K,$A6,'RD Condos'!$A:$A,1),"")</f>
        <v/>
      </c>
    </row>
    <row r="7" ht="15" customHeight="1" s="38">
      <c r="A7" s="37" t="inlineStr">
        <is>
          <t>Ten York</t>
        </is>
      </c>
      <c r="B7" s="37" t="inlineStr">
        <is>
          <t>10 York St</t>
        </is>
      </c>
      <c r="C7" s="37" t="inlineStr">
        <is>
          <t>Waterfront</t>
        </is>
      </c>
      <c r="D7" s="37" t="inlineStr">
        <is>
          <t>Tridel</t>
        </is>
      </c>
      <c r="E7" s="37" t="n">
        <v>2019</v>
      </c>
      <c r="F7" s="37" t="n">
        <v>2019</v>
      </c>
      <c r="G7" s="37" t="inlineStr">
        <is>
          <t>Condo</t>
        </is>
      </c>
      <c r="H7" s="37" t="n">
        <v>66</v>
      </c>
      <c r="I7" s="37" t="n">
        <v>694</v>
      </c>
      <c r="J7" s="37">
        <f>COUNTIFS('RD Condos'!$K:$K,$A7,'RD Condos'!$A:$A,1)</f>
        <v/>
      </c>
      <c r="K7" s="37">
        <f>IFERROR(AVERAGEIFS('RD Condos'!$B:$B,'RD Condos'!$K:$K,$A7,'RD Condos'!$A:$A,1),"")</f>
        <v/>
      </c>
      <c r="L7" s="37">
        <f>IFERROR(AVERAGEIFS('RD Condos'!$AB:$AB,'RD Condos'!$K:$K,$A7,'RD Condos'!$A:$A,1),"")</f>
        <v/>
      </c>
      <c r="M7" s="69">
        <f>IFERROR(AVERAGEIFS('RD Condos'!$E:$E,'RD Condos'!$K:$K,$A7,'RD Condos'!$A:$A,1),"")</f>
        <v/>
      </c>
    </row>
    <row r="8" ht="15" customHeight="1" s="38">
      <c r="A8" s="37" t="inlineStr">
        <is>
          <t>Forward Condos</t>
        </is>
      </c>
      <c r="B8" s="37" t="inlineStr">
        <is>
          <t>70-90 Queens Wharf Rd</t>
        </is>
      </c>
      <c r="C8" s="37" t="inlineStr">
        <is>
          <t>CityPlace</t>
        </is>
      </c>
      <c r="D8" s="37" t="inlineStr">
        <is>
          <t>Concord Adex</t>
        </is>
      </c>
      <c r="E8" s="37" t="n">
        <v>2018</v>
      </c>
      <c r="F8" s="37" t="n">
        <v>2018</v>
      </c>
      <c r="G8" s="37" t="inlineStr">
        <is>
          <t>Condo</t>
        </is>
      </c>
      <c r="H8" s="37" t="n">
        <v>30</v>
      </c>
      <c r="I8" s="37" t="n">
        <v>625</v>
      </c>
      <c r="J8" s="37">
        <f>COUNTIFS('RD Condos'!$K:$K,$A8,'RD Condos'!$A:$A,1)</f>
        <v/>
      </c>
      <c r="K8" s="37">
        <f>IFERROR(AVERAGEIFS('RD Condos'!$B:$B,'RD Condos'!$K:$K,$A8,'RD Condos'!$A:$A,1),"")</f>
        <v/>
      </c>
      <c r="L8" s="37">
        <f>IFERROR(AVERAGEIFS('RD Condos'!$AB:$AB,'RD Condos'!$K:$K,$A8,'RD Condos'!$A:$A,1),"")</f>
        <v/>
      </c>
      <c r="M8" s="69">
        <f>IFERROR(AVERAGEIFS('RD Condos'!$E:$E,'RD Condos'!$K:$K,$A8,'RD Condos'!$A:$A,1),"")</f>
        <v/>
      </c>
    </row>
    <row r="9" ht="15" customHeight="1" s="38">
      <c r="A9" s="37" t="inlineStr">
        <is>
          <t>Quartz/Spectra</t>
        </is>
      </c>
      <c r="B9" s="37" t="inlineStr">
        <is>
          <t>75-85 Queens Wharf Rd</t>
        </is>
      </c>
      <c r="C9" s="37" t="inlineStr">
        <is>
          <t>CityPlace</t>
        </is>
      </c>
      <c r="D9" s="37" t="inlineStr">
        <is>
          <t>—</t>
        </is>
      </c>
      <c r="E9" s="37" t="n">
        <v>2015</v>
      </c>
      <c r="F9" s="37" t="n">
        <v>2015</v>
      </c>
      <c r="G9" s="37" t="inlineStr">
        <is>
          <t>Condo</t>
        </is>
      </c>
      <c r="H9" s="37" t="n">
        <v>41</v>
      </c>
      <c r="I9" s="37" t="n">
        <v>943</v>
      </c>
      <c r="J9" s="37">
        <f>COUNTIFS('RD Condos'!$K:$K,$A9,'RD Condos'!$A:$A,1)</f>
        <v/>
      </c>
      <c r="K9" s="37">
        <f>IFERROR(AVERAGEIFS('RD Condos'!$B:$B,'RD Condos'!$K:$K,$A9,'RD Condos'!$A:$A,1),"")</f>
        <v/>
      </c>
      <c r="L9" s="37">
        <f>IFERROR(AVERAGEIFS('RD Condos'!$AB:$AB,'RD Condos'!$K:$K,$A9,'RD Condos'!$A:$A,1),"")</f>
        <v/>
      </c>
      <c r="M9" s="69">
        <f>IFERROR(AVERAGEIFS('RD Condos'!$E:$E,'RD Condos'!$K:$K,$A9,'RD Condos'!$A:$A,1),"")</f>
        <v/>
      </c>
    </row>
    <row r="10" ht="15" customHeight="1" s="38">
      <c r="A10" s="37" t="inlineStr">
        <is>
          <t>Library District</t>
        </is>
      </c>
      <c r="B10" s="37" t="inlineStr">
        <is>
          <t>170 Fort York Blvd</t>
        </is>
      </c>
      <c r="C10" s="37" t="inlineStr">
        <is>
          <t>CityPlace</t>
        </is>
      </c>
      <c r="D10" s="37" t="inlineStr">
        <is>
          <t>—</t>
        </is>
      </c>
      <c r="E10" s="37" t="n">
        <v>2014</v>
      </c>
      <c r="F10" s="37" t="n">
        <v>2014</v>
      </c>
      <c r="G10" s="37" t="inlineStr">
        <is>
          <t>Condo</t>
        </is>
      </c>
      <c r="H10" s="37" t="n">
        <v>29</v>
      </c>
      <c r="I10" s="37" t="n">
        <v>364</v>
      </c>
      <c r="J10" s="37">
        <f>COUNTIFS('RD Condos'!$K:$K,$A10,'RD Condos'!$A:$A,1)</f>
        <v/>
      </c>
      <c r="K10" s="37">
        <f>IFERROR(AVERAGEIFS('RD Condos'!$B:$B,'RD Condos'!$K:$K,$A10,'RD Condos'!$A:$A,1),"")</f>
        <v/>
      </c>
      <c r="L10" s="37">
        <f>IFERROR(AVERAGEIFS('RD Condos'!$AB:$AB,'RD Condos'!$K:$K,$A10,'RD Condos'!$A:$A,1),"")</f>
        <v/>
      </c>
      <c r="M10" s="69">
        <f>IFERROR(AVERAGEIFS('RD Condos'!$E:$E,'RD Condos'!$K:$K,$A10,'RD Condos'!$A:$A,1),"")</f>
        <v/>
      </c>
    </row>
    <row r="11" ht="15" customHeight="1" s="38">
      <c r="A11" s="37" t="inlineStr">
        <is>
          <t>N1 | N2 - CityPlace</t>
        </is>
      </c>
      <c r="B11" s="37" t="inlineStr">
        <is>
          <t>15 Fort York Blvd</t>
        </is>
      </c>
      <c r="C11" s="37" t="inlineStr">
        <is>
          <t>CityPlace</t>
        </is>
      </c>
      <c r="D11" s="37" t="inlineStr">
        <is>
          <t>—</t>
        </is>
      </c>
      <c r="E11" s="37" t="n">
        <v>2008</v>
      </c>
      <c r="F11" s="37" t="n">
        <v>2008</v>
      </c>
      <c r="G11" s="37" t="inlineStr">
        <is>
          <t>Condo</t>
        </is>
      </c>
      <c r="H11" s="37" t="n">
        <v>42</v>
      </c>
      <c r="I11" s="37" t="n">
        <v>568</v>
      </c>
      <c r="J11" s="37">
        <f>COUNTIFS('RD Condos'!$K:$K,$A11,'RD Condos'!$A:$A,1)</f>
        <v/>
      </c>
      <c r="K11" s="37">
        <f>IFERROR(AVERAGEIFS('RD Condos'!$B:$B,'RD Condos'!$K:$K,$A11,'RD Condos'!$A:$A,1),"")</f>
        <v/>
      </c>
      <c r="L11" s="37">
        <f>IFERROR(AVERAGEIFS('RD Condos'!$AB:$AB,'RD Condos'!$K:$K,$A11,'RD Condos'!$A:$A,1),"")</f>
        <v/>
      </c>
      <c r="M11" s="69">
        <f>IFERROR(AVERAGEIFS('RD Condos'!$E:$E,'RD Condos'!$K:$K,$A11,'RD Condos'!$A:$A,1),"")</f>
        <v/>
      </c>
    </row>
    <row r="12" ht="15" customHeight="1" s="38">
      <c r="A12" s="37" t="inlineStr">
        <is>
          <t>Aqua</t>
        </is>
      </c>
      <c r="B12" s="37" t="inlineStr">
        <is>
          <t>410 Queens Quay W</t>
        </is>
      </c>
      <c r="C12" s="37" t="inlineStr">
        <is>
          <t>Waterfront</t>
        </is>
      </c>
      <c r="D12" s="37" t="inlineStr">
        <is>
          <t>—</t>
        </is>
      </c>
      <c r="E12" s="37" t="n">
        <v>2003</v>
      </c>
      <c r="F12" s="37" t="n">
        <v>2003</v>
      </c>
      <c r="G12" s="37" t="inlineStr">
        <is>
          <t>Condo</t>
        </is>
      </c>
      <c r="H12" s="37" t="n">
        <v>16</v>
      </c>
      <c r="I12" s="37" t="n">
        <v>273</v>
      </c>
      <c r="J12" s="37">
        <f>COUNTIFS('RD Condos'!$K:$K,$A12,'RD Condos'!$A:$A,1)</f>
        <v/>
      </c>
      <c r="K12" s="37">
        <f>IFERROR(AVERAGEIFS('RD Condos'!$B:$B,'RD Condos'!$K:$K,$A12,'RD Condos'!$A:$A,1),"")</f>
        <v/>
      </c>
      <c r="L12" s="37">
        <f>IFERROR(AVERAGEIFS('RD Condos'!$AB:$AB,'RD Condos'!$K:$K,$A12,'RD Condos'!$A:$A,1),"")</f>
        <v/>
      </c>
      <c r="M12" s="69">
        <f>IFERROR(AVERAGEIFS('RD Condos'!$E:$E,'RD Condos'!$K:$K,$A12,'RD Condos'!$A:$A,1),"")</f>
        <v/>
      </c>
    </row>
    <row r="13" ht="15" customHeight="1" s="38">
      <c r="A13" s="74" t="inlineStr">
        <is>
          <t>ALL CONDOS</t>
        </is>
      </c>
      <c r="J13" s="74">
        <f>SUM(J4:J12)</f>
        <v/>
      </c>
      <c r="K13" s="74">
        <f>IFERROR(AVERAGEIFS('RD Condos'!$B:$B,'RD Condos'!$A:$A,1),"")</f>
        <v/>
      </c>
      <c r="L13" s="74">
        <f>IFERROR(AVERAGEIFS('RD Condos'!$AB:$AB,'RD Condos'!$A:$A,1),"")</f>
        <v/>
      </c>
      <c r="M13" s="74">
        <f>IFERROR(AVERAGEIFS('RD Condos'!$AN:$AN,'RD Condos'!$A:$A,1),"")</f>
        <v/>
      </c>
    </row>
    <row r="14" ht="15" customHeight="1" s="38">
      <c r="A14" s="74" t="inlineStr">
        <is>
          <t>ALL APARTMENTS</t>
        </is>
      </c>
      <c r="J14" s="74">
        <f>COUNTIFS('RD Apartments'!$A:$A,1)</f>
        <v/>
      </c>
      <c r="K14" s="74">
        <f>IFERROR(AVERAGEIFS('RD Apartments'!$B:$B,'RD Apartments'!$A:$A,1),"")</f>
        <v/>
      </c>
      <c r="L14" s="74">
        <f>IFERROR(AVERAGEIFS('RD Apartments'!$AB:$AB,'RD Apartments'!$A:$A,1),"")</f>
        <v/>
      </c>
      <c r="M14" s="74">
        <f>IFERROR(AVERAGEIFS('RD Apartments'!$AN:$AN,'RD Apartments'!$A:$A,1),"")</f>
        <v/>
      </c>
    </row>
    <row r="15" ht="15" customHeight="1" s="38">
      <c r="A15" s="50" t="inlineStr">
        <is>
          <t>Apartment band is structurally present per spec; no apartment comps in this set (subject + all 9 comps are condos).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U7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37" min="1" max="1"/>
    <col width="20" customWidth="1" style="37" min="2" max="2"/>
    <col width="13" customWidth="1" style="37" min="3" max="6"/>
  </cols>
  <sheetData>
    <row r="1" ht="26.85" customHeight="1" s="38">
      <c r="B1" s="37" t="inlineStr">
        <is>
          <t>Date Filter (include leases on/after)</t>
        </is>
      </c>
      <c r="C1" s="75" t="n">
        <v>45658</v>
      </c>
      <c r="D1" s="50" t="inlineStr">
        <is>
          <t>lever — trailing window; all comps are 2026 leases (well inside). Tunable.</t>
        </is>
      </c>
      <c r="G1" s="37" t="inlineStr">
        <is>
          <t>Subject unit mix (1BR/2BR/3BR, den-incl) — DERIVED</t>
        </is>
      </c>
      <c r="J1" s="40" t="inlineStr">
        <is>
          <t>SF</t>
        </is>
      </c>
      <c r="K1" s="40" t="inlineStr">
        <is>
          <t>#Park</t>
        </is>
      </c>
      <c r="L1" s="40" t="inlineStr">
        <is>
          <t>2BD</t>
        </is>
      </c>
      <c r="M1" s="40" t="inlineStr">
        <is>
          <t>3BD</t>
        </is>
      </c>
      <c r="N1" s="40" t="inlineStr">
        <is>
          <t>Leased$</t>
        </is>
      </c>
      <c r="P1" s="68" t="inlineStr">
        <is>
          <t>Subject Unit-Mix Derivation (P/Q)</t>
        </is>
      </c>
      <c r="S1" s="68" t="inlineStr">
        <is>
          <t>Subject Output mix &amp; suite count (estimated, pre-con)</t>
        </is>
      </c>
    </row>
    <row r="2" ht="15" customHeight="1" s="38">
      <c r="B2" s="37" t="inlineStr">
        <is>
          <t>Parking Adjustment ($/spot/mo)</t>
        </is>
      </c>
      <c r="C2" s="37">
        <f>INDEX(LINEST(N2:N40,J2:M40,TRUE(),FALSE()),1,3)</f>
        <v/>
      </c>
      <c r="D2" s="50" t="inlineStr">
        <is>
          <t>LIVE OLS regression (rent ~ SF + parking + 2BD + 3BD) over verified leased rows J:N. Derived, not typed.</t>
        </is>
      </c>
      <c r="G2" s="37" t="inlineStr">
        <is>
          <t>1BR wt</t>
        </is>
      </c>
      <c r="H2" s="47">
        <f>IF($Q$5&gt;0,$Q$2/$Q$5,$Q$8)</f>
        <v/>
      </c>
      <c r="J2" s="37">
        <f>'RD Condos'!B2</f>
        <v/>
      </c>
      <c r="K2" s="37">
        <f>'RD Condos'!U2</f>
        <v/>
      </c>
      <c r="L2" s="37">
        <f>IF('RD Condos'!H2="2",1,0)</f>
        <v/>
      </c>
      <c r="M2" s="37">
        <f>IF('RD Condos'!H2="3",1,0)</f>
        <v/>
      </c>
      <c r="N2" s="37">
        <f>'RD Condos'!AB2</f>
        <v/>
      </c>
      <c r="P2" s="37" t="inlineStr">
        <is>
          <t>1BR plans (SUBJECT, den-incl)</t>
        </is>
      </c>
      <c r="Q2" s="37">
        <f>COUNTIFS('Floor Plans'!$A:$A,"*(SUBJECT)*",'Floor Plans'!$E:$E,"&lt;=1")</f>
        <v/>
      </c>
      <c r="S2" s="37" t="inlineStr">
        <is>
          <t>Suite count</t>
        </is>
      </c>
      <c r="T2" s="59" t="n">
        <v>511</v>
      </c>
      <c r="U2" s="50" t="inlineStr">
        <is>
          <t>vipcondos Step 0 (511 suites, 49 storeys)</t>
        </is>
      </c>
    </row>
    <row r="3" ht="15" customHeight="1" s="38">
      <c r="B3" s="37" t="inlineStr">
        <is>
          <t>Apartment premium (apt comps only)</t>
        </is>
      </c>
      <c r="C3" s="76" t="n">
        <v>0.1</v>
      </c>
      <c r="D3" s="50" t="inlineStr">
        <is>
          <t>condo-vs-apartment markup; applies to RD Apartments only. No apartment comps in this set, so unused.</t>
        </is>
      </c>
      <c r="G3" s="37" t="inlineStr">
        <is>
          <t>2BR wt</t>
        </is>
      </c>
      <c r="H3" s="47">
        <f>IF($Q$5&gt;0,$Q$3/$Q$5,$Q$9)</f>
        <v/>
      </c>
      <c r="J3" s="37">
        <f>'RD Condos'!B3</f>
        <v/>
      </c>
      <c r="K3" s="37">
        <f>'RD Condos'!U3</f>
        <v/>
      </c>
      <c r="L3" s="37">
        <f>IF('RD Condos'!H3="2",1,0)</f>
        <v/>
      </c>
      <c r="M3" s="37">
        <f>IF('RD Condos'!H3="3",1,0)</f>
        <v/>
      </c>
      <c r="N3" s="37">
        <f>'RD Condos'!AB3</f>
        <v/>
      </c>
      <c r="P3" s="37" t="inlineStr">
        <is>
          <t>2BR plans (SUBJECT)</t>
        </is>
      </c>
      <c r="Q3" s="37">
        <f>COUNTIFS('Floor Plans'!$A:$A,"*(SUBJECT)*",'Floor Plans'!$E:$E,2)</f>
        <v/>
      </c>
      <c r="S3" s="37" t="inlineStr">
        <is>
          <t>1BR wt</t>
        </is>
      </c>
      <c r="T3" s="76" t="n">
        <v>0.45</v>
      </c>
      <c r="U3" s="50" t="inlineStr">
        <is>
          <t>estimated mix (sums to 100%); tunable. 2026-06-16</t>
        </is>
      </c>
    </row>
    <row r="4" ht="15" customHeight="1" s="38">
      <c r="B4" s="37" t="inlineStr">
        <is>
          <t>Subject rental premium (new-build / lease-up; comp $/SF → subject)</t>
        </is>
      </c>
      <c r="C4" s="76" t="n">
        <v>0.1</v>
      </c>
      <c r="D4" s="50" t="inlineStr">
        <is>
          <t>PROPOSED 10% — brand-new 2029-30 waterfront delivery vs comp blend. Judgment lever, tunable (2026-06-16).</t>
        </is>
      </c>
      <c r="G4" s="37" t="inlineStr">
        <is>
          <t>3BR wt</t>
        </is>
      </c>
      <c r="H4" s="47">
        <f>IF($Q$5&gt;0,$Q$4/$Q$5,$Q$10)</f>
        <v/>
      </c>
      <c r="J4" s="37">
        <f>'RD Condos'!B4</f>
        <v/>
      </c>
      <c r="K4" s="37">
        <f>'RD Condos'!U4</f>
        <v/>
      </c>
      <c r="L4" s="37">
        <f>IF('RD Condos'!H4="2",1,0)</f>
        <v/>
      </c>
      <c r="M4" s="37">
        <f>IF('RD Condos'!H4="3",1,0)</f>
        <v/>
      </c>
      <c r="N4" s="37">
        <f>'RD Condos'!AB4</f>
        <v/>
      </c>
      <c r="P4" s="37" t="inlineStr">
        <is>
          <t>3BR plans (SUBJECT)</t>
        </is>
      </c>
      <c r="Q4" s="37">
        <f>COUNTIFS('Floor Plans'!$A:$A,"*(SUBJECT)*",'Floor Plans'!$E:$E,"&gt;=3")</f>
        <v/>
      </c>
      <c r="S4" s="37" t="inlineStr">
        <is>
          <t>1+Den wt</t>
        </is>
      </c>
      <c r="T4" s="76" t="n">
        <v>0.18</v>
      </c>
    </row>
    <row r="5" ht="15" customHeight="1" s="38">
      <c r="A5" s="46" t="inlineStr">
        <is>
          <t>Comp building rollup (included leases)</t>
        </is>
      </c>
      <c r="J5" s="37">
        <f>'RD Condos'!B5</f>
        <v/>
      </c>
      <c r="K5" s="37">
        <f>'RD Condos'!U5</f>
        <v/>
      </c>
      <c r="L5" s="37">
        <f>IF('RD Condos'!H5="2",1,0)</f>
        <v/>
      </c>
      <c r="M5" s="37">
        <f>IF('RD Condos'!H5="3",1,0)</f>
        <v/>
      </c>
      <c r="N5" s="37">
        <f>'RD Condos'!AB5</f>
        <v/>
      </c>
      <c r="P5" s="37" t="inlineStr">
        <is>
          <t>Total tagged plans</t>
        </is>
      </c>
      <c r="Q5" s="37">
        <f>SUM(Q2:Q4)</f>
        <v/>
      </c>
      <c r="S5" s="37" t="inlineStr">
        <is>
          <t>2BR wt</t>
        </is>
      </c>
      <c r="T5" s="76" t="n">
        <v>0.3</v>
      </c>
    </row>
    <row r="6" ht="26.85" customHeight="1" s="38">
      <c r="A6" s="40" t="inlineStr">
        <is>
          <t>Building</t>
        </is>
      </c>
      <c r="B6" s="40" t="inlineStr">
        <is>
          <t>Address</t>
        </is>
      </c>
      <c r="C6" s="40" t="inlineStr">
        <is>
          <t>Built</t>
        </is>
      </c>
      <c r="D6" s="40" t="inlineStr">
        <is>
          <t>Incl.</t>
        </is>
      </c>
      <c r="E6" s="40" t="inlineStr">
        <is>
          <t>Avg SF</t>
        </is>
      </c>
      <c r="F6" s="40" t="inlineStr">
        <is>
          <t>Avg Rent</t>
        </is>
      </c>
      <c r="G6" s="40" t="inlineStr">
        <is>
          <t>Avg $/SF</t>
        </is>
      </c>
      <c r="J6" s="37">
        <f>'RD Condos'!B6</f>
        <v/>
      </c>
      <c r="K6" s="37">
        <f>'RD Condos'!U6</f>
        <v/>
      </c>
      <c r="L6" s="37">
        <f>IF('RD Condos'!H6="2",1,0)</f>
        <v/>
      </c>
      <c r="M6" s="37">
        <f>IF('RD Condos'!H6="3",1,0)</f>
        <v/>
      </c>
      <c r="N6" s="37">
        <f>'RD Condos'!AB6</f>
        <v/>
      </c>
      <c r="P6" s="50" t="inlineStr">
        <is>
          <t>(0 ⇒ falls back to manual mix Q8:Q10)</t>
        </is>
      </c>
      <c r="S6" s="37" t="inlineStr">
        <is>
          <t>3BR wt</t>
        </is>
      </c>
      <c r="T6" s="76" t="n">
        <v>0.07000000000000001</v>
      </c>
    </row>
    <row r="7" ht="15" customHeight="1" s="38">
      <c r="A7" s="37" t="inlineStr">
        <is>
          <t>Concord Canada House</t>
        </is>
      </c>
      <c r="B7" s="37" t="inlineStr">
        <is>
          <t>23 Spadina Ave</t>
        </is>
      </c>
      <c r="C7" s="37" t="inlineStr">
        <is>
          <t>Built 2025</t>
        </is>
      </c>
      <c r="D7" s="37">
        <f>COUNTIFS('RD Condos'!$K:$K,$A7,'RD Condos'!$A:$A,1)</f>
        <v/>
      </c>
      <c r="E7" s="37">
        <f>IFERROR(AVERAGEIFS('RD Condos'!$B:$B,'RD Condos'!$K:$K,$A7,'RD Condos'!$A:$A,1),"")</f>
        <v/>
      </c>
      <c r="F7" s="37">
        <f>IFERROR(AVERAGEIFS('RD Condos'!$AB:$AB,'RD Condos'!$K:$K,$A7,'RD Condos'!$A:$A,1),"")</f>
        <v/>
      </c>
      <c r="G7" s="37">
        <f>IFERROR(AVERAGEIFS('RD Condos'!$E:$E,'RD Condos'!$K:$K,$A7,'RD Condos'!$A:$A,1),"")</f>
        <v/>
      </c>
      <c r="J7" s="37">
        <f>'RD Condos'!B7</f>
        <v/>
      </c>
      <c r="K7" s="37">
        <f>'RD Condos'!U7</f>
        <v/>
      </c>
      <c r="L7" s="37">
        <f>IF('RD Condos'!H7="2",1,0)</f>
        <v/>
      </c>
      <c r="M7" s="37">
        <f>IF('RD Condos'!H7="3",1,0)</f>
        <v/>
      </c>
      <c r="N7" s="37">
        <f>'RD Condos'!AB7</f>
        <v/>
      </c>
      <c r="P7" s="37" t="inlineStr">
        <is>
          <t>Source</t>
        </is>
      </c>
      <c r="Q7" s="59" t="inlineStr">
        <is>
          <t>estimated — typical downtown waterfront condo program; no subject plans published (pre-construction), 2026-06-16</t>
        </is>
      </c>
    </row>
    <row r="8" ht="15" customHeight="1" s="38">
      <c r="A8" s="37" t="inlineStr">
        <is>
          <t>Nobu Residences</t>
        </is>
      </c>
      <c r="B8" s="37" t="inlineStr">
        <is>
          <t>15 Mercer St</t>
        </is>
      </c>
      <c r="C8" s="37" t="inlineStr">
        <is>
          <t>Built 2024</t>
        </is>
      </c>
      <c r="D8" s="37">
        <f>COUNTIFS('RD Condos'!$K:$K,$A8,'RD Condos'!$A:$A,1)</f>
        <v/>
      </c>
      <c r="E8" s="37">
        <f>IFERROR(AVERAGEIFS('RD Condos'!$B:$B,'RD Condos'!$K:$K,$A8,'RD Condos'!$A:$A,1),"")</f>
        <v/>
      </c>
      <c r="F8" s="37">
        <f>IFERROR(AVERAGEIFS('RD Condos'!$AB:$AB,'RD Condos'!$K:$K,$A8,'RD Condos'!$A:$A,1),"")</f>
        <v/>
      </c>
      <c r="G8" s="37">
        <f>IFERROR(AVERAGEIFS('RD Condos'!$E:$E,'RD Condos'!$K:$K,$A8,'RD Condos'!$A:$A,1),"")</f>
        <v/>
      </c>
      <c r="J8" s="37">
        <f>'RD Condos'!B8</f>
        <v/>
      </c>
      <c r="K8" s="37">
        <f>'RD Condos'!U8</f>
        <v/>
      </c>
      <c r="L8" s="37">
        <f>IF('RD Condos'!H8="2",1,0)</f>
        <v/>
      </c>
      <c r="M8" s="37">
        <f>IF('RD Condos'!H8="3",1,0)</f>
        <v/>
      </c>
      <c r="N8" s="37">
        <f>'RD Condos'!AB8</f>
        <v/>
      </c>
      <c r="P8" s="37" t="inlineStr">
        <is>
          <t>1BR wt (manual)</t>
        </is>
      </c>
      <c r="Q8" s="76" t="n">
        <v>0.63</v>
      </c>
    </row>
    <row r="9" ht="15" customHeight="1" s="38">
      <c r="A9" s="37" t="inlineStr">
        <is>
          <t>The Well</t>
        </is>
      </c>
      <c r="B9" s="37" t="inlineStr">
        <is>
          <t>470-480 Front St W</t>
        </is>
      </c>
      <c r="C9" s="37" t="inlineStr">
        <is>
          <t>Built 2024</t>
        </is>
      </c>
      <c r="D9" s="37">
        <f>COUNTIFS('RD Condos'!$K:$K,$A9,'RD Condos'!$A:$A,1)</f>
        <v/>
      </c>
      <c r="E9" s="37">
        <f>IFERROR(AVERAGEIFS('RD Condos'!$B:$B,'RD Condos'!$K:$K,$A9,'RD Condos'!$A:$A,1),"")</f>
        <v/>
      </c>
      <c r="F9" s="37">
        <f>IFERROR(AVERAGEIFS('RD Condos'!$AB:$AB,'RD Condos'!$K:$K,$A9,'RD Condos'!$A:$A,1),"")</f>
        <v/>
      </c>
      <c r="G9" s="37">
        <f>IFERROR(AVERAGEIFS('RD Condos'!$E:$E,'RD Condos'!$K:$K,$A9,'RD Condos'!$A:$A,1),"")</f>
        <v/>
      </c>
      <c r="J9" s="37">
        <f>'RD Condos'!B9</f>
        <v/>
      </c>
      <c r="K9" s="37">
        <f>'RD Condos'!U9</f>
        <v/>
      </c>
      <c r="L9" s="37">
        <f>IF('RD Condos'!H9="2",1,0)</f>
        <v/>
      </c>
      <c r="M9" s="37">
        <f>IF('RD Condos'!H9="3",1,0)</f>
        <v/>
      </c>
      <c r="N9" s="37">
        <f>'RD Condos'!AB9</f>
        <v/>
      </c>
      <c r="P9" s="37" t="inlineStr">
        <is>
          <t>2BR wt (manual)</t>
        </is>
      </c>
      <c r="Q9" s="76" t="n">
        <v>0.3</v>
      </c>
    </row>
    <row r="10" ht="15" customHeight="1" s="38">
      <c r="A10" s="37" t="inlineStr">
        <is>
          <t>Ten York</t>
        </is>
      </c>
      <c r="B10" s="37" t="inlineStr">
        <is>
          <t>10 York St</t>
        </is>
      </c>
      <c r="C10" s="37" t="inlineStr">
        <is>
          <t>Built 2019</t>
        </is>
      </c>
      <c r="D10" s="37">
        <f>COUNTIFS('RD Condos'!$K:$K,$A10,'RD Condos'!$A:$A,1)</f>
        <v/>
      </c>
      <c r="E10" s="37">
        <f>IFERROR(AVERAGEIFS('RD Condos'!$B:$B,'RD Condos'!$K:$K,$A10,'RD Condos'!$A:$A,1),"")</f>
        <v/>
      </c>
      <c r="F10" s="37">
        <f>IFERROR(AVERAGEIFS('RD Condos'!$AB:$AB,'RD Condos'!$K:$K,$A10,'RD Condos'!$A:$A,1),"")</f>
        <v/>
      </c>
      <c r="G10" s="37">
        <f>IFERROR(AVERAGEIFS('RD Condos'!$E:$E,'RD Condos'!$K:$K,$A10,'RD Condos'!$A:$A,1),"")</f>
        <v/>
      </c>
      <c r="J10" s="37">
        <f>'RD Condos'!B10</f>
        <v/>
      </c>
      <c r="K10" s="37">
        <f>'RD Condos'!U10</f>
        <v/>
      </c>
      <c r="L10" s="37">
        <f>IF('RD Condos'!H10="2",1,0)</f>
        <v/>
      </c>
      <c r="M10" s="37">
        <f>IF('RD Condos'!H10="3",1,0)</f>
        <v/>
      </c>
      <c r="N10" s="37">
        <f>'RD Condos'!AB10</f>
        <v/>
      </c>
      <c r="P10" s="37" t="inlineStr">
        <is>
          <t>3BR wt (manual)</t>
        </is>
      </c>
      <c r="Q10" s="76" t="n">
        <v>0.07000000000000001</v>
      </c>
    </row>
    <row r="11" ht="15" customHeight="1" s="38">
      <c r="A11" s="37" t="inlineStr">
        <is>
          <t>Forward Condos</t>
        </is>
      </c>
      <c r="B11" s="37" t="inlineStr">
        <is>
          <t>70-90 Queens Wharf Rd</t>
        </is>
      </c>
      <c r="C11" s="37" t="inlineStr">
        <is>
          <t>Built 2018</t>
        </is>
      </c>
      <c r="D11" s="37">
        <f>COUNTIFS('RD Condos'!$K:$K,$A11,'RD Condos'!$A:$A,1)</f>
        <v/>
      </c>
      <c r="E11" s="37">
        <f>IFERROR(AVERAGEIFS('RD Condos'!$B:$B,'RD Condos'!$K:$K,$A11,'RD Condos'!$A:$A,1),"")</f>
        <v/>
      </c>
      <c r="F11" s="37">
        <f>IFERROR(AVERAGEIFS('RD Condos'!$AB:$AB,'RD Condos'!$K:$K,$A11,'RD Condos'!$A:$A,1),"")</f>
        <v/>
      </c>
      <c r="G11" s="37">
        <f>IFERROR(AVERAGEIFS('RD Condos'!$E:$E,'RD Condos'!$K:$K,$A11,'RD Condos'!$A:$A,1),"")</f>
        <v/>
      </c>
      <c r="J11" s="37">
        <f>'RD Condos'!B11</f>
        <v/>
      </c>
      <c r="K11" s="37">
        <f>'RD Condos'!U11</f>
        <v/>
      </c>
      <c r="L11" s="37">
        <f>IF('RD Condos'!H11="2",1,0)</f>
        <v/>
      </c>
      <c r="M11" s="37">
        <f>IF('RD Condos'!H11="3",1,0)</f>
        <v/>
      </c>
      <c r="N11" s="37">
        <f>'RD Condos'!AB11</f>
        <v/>
      </c>
    </row>
    <row r="12" ht="15" customHeight="1" s="38">
      <c r="A12" s="37" t="inlineStr">
        <is>
          <t>Quartz/Spectra</t>
        </is>
      </c>
      <c r="B12" s="37" t="inlineStr">
        <is>
          <t>75-85 Queens Wharf Rd</t>
        </is>
      </c>
      <c r="C12" s="37" t="inlineStr">
        <is>
          <t>Built 2015</t>
        </is>
      </c>
      <c r="D12" s="37">
        <f>COUNTIFS('RD Condos'!$K:$K,$A12,'RD Condos'!$A:$A,1)</f>
        <v/>
      </c>
      <c r="E12" s="37">
        <f>IFERROR(AVERAGEIFS('RD Condos'!$B:$B,'RD Condos'!$K:$K,$A12,'RD Condos'!$A:$A,1),"")</f>
        <v/>
      </c>
      <c r="F12" s="37">
        <f>IFERROR(AVERAGEIFS('RD Condos'!$AB:$AB,'RD Condos'!$K:$K,$A12,'RD Condos'!$A:$A,1),"")</f>
        <v/>
      </c>
      <c r="G12" s="37">
        <f>IFERROR(AVERAGEIFS('RD Condos'!$E:$E,'RD Condos'!$K:$K,$A12,'RD Condos'!$A:$A,1),"")</f>
        <v/>
      </c>
      <c r="J12" s="37">
        <f>'RD Condos'!B12</f>
        <v/>
      </c>
      <c r="K12" s="37">
        <f>'RD Condos'!U12</f>
        <v/>
      </c>
      <c r="L12" s="37">
        <f>IF('RD Condos'!H12="2",1,0)</f>
        <v/>
      </c>
      <c r="M12" s="37">
        <f>IF('RD Condos'!H12="3",1,0)</f>
        <v/>
      </c>
      <c r="N12" s="37">
        <f>'RD Condos'!AB12</f>
        <v/>
      </c>
    </row>
    <row r="13" ht="15" customHeight="1" s="38">
      <c r="A13" s="37" t="inlineStr">
        <is>
          <t>Library District</t>
        </is>
      </c>
      <c r="B13" s="37" t="inlineStr">
        <is>
          <t>170 Fort York Blvd</t>
        </is>
      </c>
      <c r="C13" s="37" t="inlineStr">
        <is>
          <t>Built 2014</t>
        </is>
      </c>
      <c r="D13" s="37">
        <f>COUNTIFS('RD Condos'!$K:$K,$A13,'RD Condos'!$A:$A,1)</f>
        <v/>
      </c>
      <c r="E13" s="37">
        <f>IFERROR(AVERAGEIFS('RD Condos'!$B:$B,'RD Condos'!$K:$K,$A13,'RD Condos'!$A:$A,1),"")</f>
        <v/>
      </c>
      <c r="F13" s="37">
        <f>IFERROR(AVERAGEIFS('RD Condos'!$AB:$AB,'RD Condos'!$K:$K,$A13,'RD Condos'!$A:$A,1),"")</f>
        <v/>
      </c>
      <c r="G13" s="37">
        <f>IFERROR(AVERAGEIFS('RD Condos'!$E:$E,'RD Condos'!$K:$K,$A13,'RD Condos'!$A:$A,1),"")</f>
        <v/>
      </c>
      <c r="J13" s="37">
        <f>'RD Condos'!B13</f>
        <v/>
      </c>
      <c r="K13" s="37">
        <f>'RD Condos'!U13</f>
        <v/>
      </c>
      <c r="L13" s="37">
        <f>IF('RD Condos'!H13="2",1,0)</f>
        <v/>
      </c>
      <c r="M13" s="37">
        <f>IF('RD Condos'!H13="3",1,0)</f>
        <v/>
      </c>
      <c r="N13" s="37">
        <f>'RD Condos'!AB13</f>
        <v/>
      </c>
    </row>
    <row r="14" ht="15" customHeight="1" s="38">
      <c r="A14" s="37" t="inlineStr">
        <is>
          <t>N1 | N2 - CityPlace</t>
        </is>
      </c>
      <c r="B14" s="37" t="inlineStr">
        <is>
          <t>15 Fort York Blvd</t>
        </is>
      </c>
      <c r="C14" s="37" t="inlineStr">
        <is>
          <t>Built 2008</t>
        </is>
      </c>
      <c r="D14" s="37">
        <f>COUNTIFS('RD Condos'!$K:$K,$A14,'RD Condos'!$A:$A,1)</f>
        <v/>
      </c>
      <c r="E14" s="37">
        <f>IFERROR(AVERAGEIFS('RD Condos'!$B:$B,'RD Condos'!$K:$K,$A14,'RD Condos'!$A:$A,1),"")</f>
        <v/>
      </c>
      <c r="F14" s="37">
        <f>IFERROR(AVERAGEIFS('RD Condos'!$AB:$AB,'RD Condos'!$K:$K,$A14,'RD Condos'!$A:$A,1),"")</f>
        <v/>
      </c>
      <c r="G14" s="37">
        <f>IFERROR(AVERAGEIFS('RD Condos'!$E:$E,'RD Condos'!$K:$K,$A14,'RD Condos'!$A:$A,1),"")</f>
        <v/>
      </c>
      <c r="J14" s="37">
        <f>'RD Condos'!B14</f>
        <v/>
      </c>
      <c r="K14" s="37">
        <f>'RD Condos'!U14</f>
        <v/>
      </c>
      <c r="L14" s="37">
        <f>IF('RD Condos'!H14="2",1,0)</f>
        <v/>
      </c>
      <c r="M14" s="37">
        <f>IF('RD Condos'!H14="3",1,0)</f>
        <v/>
      </c>
      <c r="N14" s="37">
        <f>'RD Condos'!AB14</f>
        <v/>
      </c>
    </row>
    <row r="15" ht="15" customHeight="1" s="38">
      <c r="A15" s="37" t="inlineStr">
        <is>
          <t>Aqua</t>
        </is>
      </c>
      <c r="B15" s="37" t="inlineStr">
        <is>
          <t>410 Queens Quay W</t>
        </is>
      </c>
      <c r="C15" s="37" t="inlineStr">
        <is>
          <t>Built 2003</t>
        </is>
      </c>
      <c r="D15" s="37">
        <f>COUNTIFS('RD Condos'!$K:$K,$A15,'RD Condos'!$A:$A,1)</f>
        <v/>
      </c>
      <c r="E15" s="37">
        <f>IFERROR(AVERAGEIFS('RD Condos'!$B:$B,'RD Condos'!$K:$K,$A15,'RD Condos'!$A:$A,1),"")</f>
        <v/>
      </c>
      <c r="F15" s="37">
        <f>IFERROR(AVERAGEIFS('RD Condos'!$AB:$AB,'RD Condos'!$K:$K,$A15,'RD Condos'!$A:$A,1),"")</f>
        <v/>
      </c>
      <c r="G15" s="37">
        <f>IFERROR(AVERAGEIFS('RD Condos'!$E:$E,'RD Condos'!$K:$K,$A15,'RD Condos'!$A:$A,1),"")</f>
        <v/>
      </c>
      <c r="J15" s="37">
        <f>'RD Condos'!B15</f>
        <v/>
      </c>
      <c r="K15" s="37">
        <f>'RD Condos'!U15</f>
        <v/>
      </c>
      <c r="L15" s="37">
        <f>IF('RD Condos'!H15="2",1,0)</f>
        <v/>
      </c>
      <c r="M15" s="37">
        <f>IF('RD Condos'!H15="3",1,0)</f>
        <v/>
      </c>
      <c r="N15" s="37">
        <f>'RD Condos'!AB15</f>
        <v/>
      </c>
    </row>
    <row r="16" ht="15" customHeight="1" s="38">
      <c r="A16" s="74" t="inlineStr">
        <is>
          <t>ALL COMPS</t>
        </is>
      </c>
      <c r="D16" s="74">
        <f>SUM(D7:D15)</f>
        <v/>
      </c>
      <c r="E16" s="74">
        <f>IFERROR(AVERAGEIFS('RD Condos'!$B:$B,'RD Condos'!$A:$A,1),"")</f>
        <v/>
      </c>
      <c r="F16" s="74">
        <f>IFERROR(AVERAGEIFS('RD Condos'!$AB:$AB,'RD Condos'!$A:$A,1),"")</f>
        <v/>
      </c>
      <c r="G16" s="74">
        <f>IFERROR(AVERAGEIFS('RD Condos'!$AN:$AN,'RD Condos'!$A:$A,1),"")</f>
        <v/>
      </c>
      <c r="J16" s="37">
        <f>'RD Condos'!B16</f>
        <v/>
      </c>
      <c r="K16" s="37">
        <f>'RD Condos'!U16</f>
        <v/>
      </c>
      <c r="L16" s="37">
        <f>IF('RD Condos'!H16="2",1,0)</f>
        <v/>
      </c>
      <c r="M16" s="37">
        <f>IF('RD Condos'!H16="3",1,0)</f>
        <v/>
      </c>
      <c r="N16" s="37">
        <f>'RD Condos'!AB16</f>
        <v/>
      </c>
    </row>
    <row r="17" ht="15" customHeight="1" s="38">
      <c r="J17" s="37">
        <f>'RD Condos'!B17</f>
        <v/>
      </c>
      <c r="K17" s="37">
        <f>'RD Condos'!U17</f>
        <v/>
      </c>
      <c r="L17" s="37">
        <f>IF('RD Condos'!H17="2",1,0)</f>
        <v/>
      </c>
      <c r="M17" s="37">
        <f>IF('RD Condos'!H17="3",1,0)</f>
        <v/>
      </c>
      <c r="N17" s="37">
        <f>'RD Condos'!AB17</f>
        <v/>
      </c>
    </row>
    <row r="18" ht="15" customHeight="1" s="38">
      <c r="A18" s="46" t="inlineStr">
        <is>
          <t>By Bedroom — all comps (den-incl.)</t>
        </is>
      </c>
      <c r="J18" s="37">
        <f>'RD Condos'!B18</f>
        <v/>
      </c>
      <c r="K18" s="37">
        <f>'RD Condos'!U18</f>
        <v/>
      </c>
      <c r="L18" s="37">
        <f>IF('RD Condos'!H18="2",1,0)</f>
        <v/>
      </c>
      <c r="M18" s="37">
        <f>IF('RD Condos'!H18="3",1,0)</f>
        <v/>
      </c>
      <c r="N18" s="37">
        <f>'RD Condos'!AB18</f>
        <v/>
      </c>
    </row>
    <row r="19" ht="15" customHeight="1" s="38">
      <c r="A19" s="40" t="inlineStr">
        <is>
          <t>Beds</t>
        </is>
      </c>
      <c r="B19" s="40" t="inlineStr">
        <is>
          <t>Incl.</t>
        </is>
      </c>
      <c r="C19" s="40" t="inlineStr">
        <is>
          <t>Avg SF</t>
        </is>
      </c>
      <c r="D19" s="40" t="inlineStr">
        <is>
          <t>Avg Rent</t>
        </is>
      </c>
      <c r="E19" s="40" t="inlineStr">
        <is>
          <t>Avg $/SF</t>
        </is>
      </c>
      <c r="J19" s="37">
        <f>'RD Condos'!B19</f>
        <v/>
      </c>
      <c r="K19" s="37">
        <f>'RD Condos'!U19</f>
        <v/>
      </c>
      <c r="L19" s="37">
        <f>IF('RD Condos'!H19="2",1,0)</f>
        <v/>
      </c>
      <c r="M19" s="37">
        <f>IF('RD Condos'!H19="3",1,0)</f>
        <v/>
      </c>
      <c r="N19" s="37">
        <f>'RD Condos'!AB19</f>
        <v/>
      </c>
    </row>
    <row r="20" ht="15" customHeight="1" s="38">
      <c r="A20" s="37" t="inlineStr">
        <is>
          <t>1 Bed</t>
        </is>
      </c>
      <c r="B20" s="37">
        <f>COUNTIFS('RD Condos'!$H:$H,"1",'RD Condos'!$A:$A,1)</f>
        <v/>
      </c>
      <c r="C20" s="37">
        <f>IFERROR(AVERAGEIFS('RD Condos'!$B:$B,'RD Condos'!$H:$H,"1",'RD Condos'!$A:$A,1),"")</f>
        <v/>
      </c>
      <c r="D20" s="37">
        <f>IFERROR(AVERAGEIFS('RD Condos'!$AB:$AB,'RD Condos'!$H:$H,"1",'RD Condos'!$A:$A,1),"")</f>
        <v/>
      </c>
      <c r="E20" s="37">
        <f>IFERROR(AVERAGEIFS('RD Condos'!$AN:$AN,'RD Condos'!$H:$H,"1",'RD Condos'!$A:$A,1),"")</f>
        <v/>
      </c>
      <c r="J20" s="37">
        <f>'RD Condos'!B20</f>
        <v/>
      </c>
      <c r="K20" s="37">
        <f>'RD Condos'!U20</f>
        <v/>
      </c>
      <c r="L20" s="37">
        <f>IF('RD Condos'!H20="2",1,0)</f>
        <v/>
      </c>
      <c r="M20" s="37">
        <f>IF('RD Condos'!H20="3",1,0)</f>
        <v/>
      </c>
      <c r="N20" s="37">
        <f>'RD Condos'!AB20</f>
        <v/>
      </c>
    </row>
    <row r="21" ht="15" customHeight="1" s="38">
      <c r="A21" s="37" t="inlineStr">
        <is>
          <t>2 Bed</t>
        </is>
      </c>
      <c r="B21" s="37">
        <f>COUNTIFS('RD Condos'!$H:$H,"2",'RD Condos'!$A:$A,1)</f>
        <v/>
      </c>
      <c r="C21" s="37">
        <f>IFERROR(AVERAGEIFS('RD Condos'!$B:$B,'RD Condos'!$H:$H,"2",'RD Condos'!$A:$A,1),"")</f>
        <v/>
      </c>
      <c r="D21" s="37">
        <f>IFERROR(AVERAGEIFS('RD Condos'!$AB:$AB,'RD Condos'!$H:$H,"2",'RD Condos'!$A:$A,1),"")</f>
        <v/>
      </c>
      <c r="E21" s="37">
        <f>IFERROR(AVERAGEIFS('RD Condos'!$AN:$AN,'RD Condos'!$H:$H,"2",'RD Condos'!$A:$A,1),"")</f>
        <v/>
      </c>
      <c r="J21" s="37">
        <f>'RD Condos'!B21</f>
        <v/>
      </c>
      <c r="K21" s="37">
        <f>'RD Condos'!U21</f>
        <v/>
      </c>
      <c r="L21" s="37">
        <f>IF('RD Condos'!H21="2",1,0)</f>
        <v/>
      </c>
      <c r="M21" s="37">
        <f>IF('RD Condos'!H21="3",1,0)</f>
        <v/>
      </c>
      <c r="N21" s="37">
        <f>'RD Condos'!AB21</f>
        <v/>
      </c>
    </row>
    <row r="22" ht="15" customHeight="1" s="38">
      <c r="A22" s="37" t="inlineStr">
        <is>
          <t>3 Bed</t>
        </is>
      </c>
      <c r="B22" s="37">
        <f>COUNTIFS('RD Condos'!$H:$H,"3",'RD Condos'!$A:$A,1)</f>
        <v/>
      </c>
      <c r="C22" s="37">
        <f>IFERROR(AVERAGEIFS('RD Condos'!$B:$B,'RD Condos'!$H:$H,"3",'RD Condos'!$A:$A,1),"")</f>
        <v/>
      </c>
      <c r="D22" s="37">
        <f>IFERROR(AVERAGEIFS('RD Condos'!$AB:$AB,'RD Condos'!$H:$H,"3",'RD Condos'!$A:$A,1),"")</f>
        <v/>
      </c>
      <c r="E22" s="37">
        <f>IFERROR(AVERAGEIFS('RD Condos'!$AN:$AN,'RD Condos'!$H:$H,"3",'RD Condos'!$A:$A,1),"")</f>
        <v/>
      </c>
      <c r="J22" s="37">
        <f>'RD Condos'!B22</f>
        <v/>
      </c>
      <c r="K22" s="37">
        <f>'RD Condos'!U22</f>
        <v/>
      </c>
      <c r="L22" s="37">
        <f>IF('RD Condos'!H22="2",1,0)</f>
        <v/>
      </c>
      <c r="M22" s="37">
        <f>IF('RD Condos'!H22="3",1,0)</f>
        <v/>
      </c>
      <c r="N22" s="37">
        <f>'RD Condos'!AB22</f>
        <v/>
      </c>
    </row>
    <row r="23" ht="15" customHeight="1" s="38">
      <c r="J23" s="37">
        <f>'RD Condos'!B23</f>
        <v/>
      </c>
      <c r="K23" s="37">
        <f>'RD Condos'!U23</f>
        <v/>
      </c>
      <c r="L23" s="37">
        <f>IF('RD Condos'!H23="2",1,0)</f>
        <v/>
      </c>
      <c r="M23" s="37">
        <f>IF('RD Condos'!H23="3",1,0)</f>
        <v/>
      </c>
      <c r="N23" s="37">
        <f>'RD Condos'!AB23</f>
        <v/>
      </c>
    </row>
    <row r="24" ht="15" customHeight="1" s="38">
      <c r="A24" s="46" t="inlineStr">
        <is>
          <t>By Bedroom — Concord Canada House only (new-build basis)</t>
        </is>
      </c>
      <c r="J24" s="37">
        <f>'RD Condos'!B24</f>
        <v/>
      </c>
      <c r="K24" s="37">
        <f>'RD Condos'!U24</f>
        <v/>
      </c>
      <c r="L24" s="37">
        <f>IF('RD Condos'!H24="2",1,0)</f>
        <v/>
      </c>
      <c r="M24" s="37">
        <f>IF('RD Condos'!H24="3",1,0)</f>
        <v/>
      </c>
      <c r="N24" s="37">
        <f>'RD Condos'!AB24</f>
        <v/>
      </c>
    </row>
    <row r="25" ht="26.85" customHeight="1" s="38">
      <c r="A25" s="40" t="inlineStr">
        <is>
          <t>Beds</t>
        </is>
      </c>
      <c r="B25" s="40" t="inlineStr">
        <is>
          <t>Incl.</t>
        </is>
      </c>
      <c r="C25" s="40" t="inlineStr">
        <is>
          <t>Avg SF</t>
        </is>
      </c>
      <c r="D25" s="40" t="inlineStr">
        <is>
          <t>Avg Rent</t>
        </is>
      </c>
      <c r="E25" s="40" t="inlineStr">
        <is>
          <t>$/SF</t>
        </is>
      </c>
      <c r="F25" s="40" t="inlineStr">
        <is>
          <t>Subj Rent (+prem)</t>
        </is>
      </c>
      <c r="J25" s="37">
        <f>'RD Condos'!B25</f>
        <v/>
      </c>
      <c r="K25" s="37">
        <f>'RD Condos'!U25</f>
        <v/>
      </c>
      <c r="L25" s="37">
        <f>IF('RD Condos'!H25="2",1,0)</f>
        <v/>
      </c>
      <c r="M25" s="37">
        <f>IF('RD Condos'!H25="3",1,0)</f>
        <v/>
      </c>
      <c r="N25" s="37">
        <f>'RD Condos'!AB25</f>
        <v/>
      </c>
    </row>
    <row r="26" ht="15" customHeight="1" s="38">
      <c r="A26" s="37" t="inlineStr">
        <is>
          <t>1 Bed</t>
        </is>
      </c>
      <c r="B26" s="37">
        <f>COUNTIFS('RD Condos'!$K:$K,"Concord Canada House",'RD Condos'!$H:$H,"1",'RD Condos'!$A:$A,1)</f>
        <v/>
      </c>
      <c r="C26" s="37">
        <f>IFERROR(AVERAGEIFS('RD Condos'!$B:$B,'RD Condos'!$K:$K,"Concord Canada House",'RD Condos'!$H:$H,"1",'RD Condos'!$A:$A,1),"")</f>
        <v/>
      </c>
      <c r="D26" s="37">
        <f>IFERROR(AVERAGEIFS('RD Condos'!$AB:$AB,'RD Condos'!$K:$K,"Concord Canada House",'RD Condos'!$H:$H,"1",'RD Condos'!$A:$A,1),"")</f>
        <v/>
      </c>
      <c r="E26" s="37">
        <f>IFERROR(AVERAGEIFS('RD Condos'!$E:$E,'RD Condos'!$K:$K,"Concord Canada House",'RD Condos'!$H:$H,"1",'RD Condos'!$A:$A,1),"")</f>
        <v/>
      </c>
      <c r="F26" s="77">
        <f>IFERROR(D26*(1+$C$4),"")</f>
        <v/>
      </c>
      <c r="J26" s="37">
        <f>'RD Condos'!B26</f>
        <v/>
      </c>
      <c r="K26" s="37">
        <f>'RD Condos'!U26</f>
        <v/>
      </c>
      <c r="L26" s="37">
        <f>IF('RD Condos'!H26="2",1,0)</f>
        <v/>
      </c>
      <c r="M26" s="37">
        <f>IF('RD Condos'!H26="3",1,0)</f>
        <v/>
      </c>
      <c r="N26" s="37">
        <f>'RD Condos'!AB26</f>
        <v/>
      </c>
    </row>
    <row r="27" ht="15" customHeight="1" s="38">
      <c r="A27" s="37" t="inlineStr">
        <is>
          <t>2 Bed</t>
        </is>
      </c>
      <c r="B27" s="37">
        <f>COUNTIFS('RD Condos'!$K:$K,"Concord Canada House",'RD Condos'!$H:$H,"2",'RD Condos'!$A:$A,1)</f>
        <v/>
      </c>
      <c r="C27" s="37">
        <f>IFERROR(AVERAGEIFS('RD Condos'!$B:$B,'RD Condos'!$K:$K,"Concord Canada House",'RD Condos'!$H:$H,"2",'RD Condos'!$A:$A,1),"")</f>
        <v/>
      </c>
      <c r="D27" s="37">
        <f>IFERROR(AVERAGEIFS('RD Condos'!$AB:$AB,'RD Condos'!$K:$K,"Concord Canada House",'RD Condos'!$H:$H,"2",'RD Condos'!$A:$A,1),"")</f>
        <v/>
      </c>
      <c r="E27" s="37">
        <f>IFERROR(AVERAGEIFS('RD Condos'!$E:$E,'RD Condos'!$K:$K,"Concord Canada House",'RD Condos'!$H:$H,"2",'RD Condos'!$A:$A,1),"")</f>
        <v/>
      </c>
      <c r="F27" s="77">
        <f>IFERROR(D27*(1+$C$4),"")</f>
        <v/>
      </c>
      <c r="J27" s="37">
        <f>'RD Condos'!B27</f>
        <v/>
      </c>
      <c r="K27" s="37">
        <f>'RD Condos'!U27</f>
        <v/>
      </c>
      <c r="L27" s="37">
        <f>IF('RD Condos'!H27="2",1,0)</f>
        <v/>
      </c>
      <c r="M27" s="37">
        <f>IF('RD Condos'!H27="3",1,0)</f>
        <v/>
      </c>
      <c r="N27" s="37">
        <f>'RD Condos'!AB27</f>
        <v/>
      </c>
    </row>
    <row r="28" ht="15" customHeight="1" s="38">
      <c r="A28" s="37" t="inlineStr">
        <is>
          <t>3 Bed</t>
        </is>
      </c>
      <c r="B28" s="37">
        <f>COUNTIFS('RD Condos'!$K:$K,"Concord Canada House",'RD Condos'!$H:$H,"3",'RD Condos'!$A:$A,1)</f>
        <v/>
      </c>
      <c r="C28" s="37">
        <f>IFERROR(AVERAGEIFS('RD Condos'!$B:$B,'RD Condos'!$K:$K,"Concord Canada House",'RD Condos'!$H:$H,"3",'RD Condos'!$A:$A,1),"")</f>
        <v/>
      </c>
      <c r="D28" s="37">
        <f>IFERROR(AVERAGEIFS('RD Condos'!$AB:$AB,'RD Condos'!$K:$K,"Concord Canada House",'RD Condos'!$H:$H,"3",'RD Condos'!$A:$A,1),"")</f>
        <v/>
      </c>
      <c r="E28" s="37">
        <f>IFERROR(AVERAGEIFS('RD Condos'!$E:$E,'RD Condos'!$K:$K,"Concord Canada House",'RD Condos'!$H:$H,"3",'RD Condos'!$A:$A,1),"")</f>
        <v/>
      </c>
      <c r="F28" s="77">
        <f>IFERROR(D28*(1+$C$4),"")</f>
        <v/>
      </c>
      <c r="J28" s="37">
        <f>'RD Condos'!B28</f>
        <v/>
      </c>
      <c r="K28" s="37">
        <f>'RD Condos'!U28</f>
        <v/>
      </c>
      <c r="L28" s="37">
        <f>IF('RD Condos'!H28="2",1,0)</f>
        <v/>
      </c>
      <c r="M28" s="37">
        <f>IF('RD Condos'!H28="3",1,0)</f>
        <v/>
      </c>
      <c r="N28" s="37">
        <f>'RD Condos'!AB28</f>
        <v/>
      </c>
    </row>
    <row r="29" ht="15" customHeight="1" s="38">
      <c r="J29" s="37">
        <f>'RD Condos'!B29</f>
        <v/>
      </c>
      <c r="K29" s="37">
        <f>'RD Condos'!U29</f>
        <v/>
      </c>
      <c r="L29" s="37">
        <f>IF('RD Condos'!H29="2",1,0)</f>
        <v/>
      </c>
      <c r="M29" s="37">
        <f>IF('RD Condos'!H29="3",1,0)</f>
        <v/>
      </c>
      <c r="N29" s="37">
        <f>'RD Condos'!AB29</f>
        <v/>
      </c>
    </row>
    <row r="30" ht="15" customHeight="1" s="38">
      <c r="A30" s="77" t="inlineStr">
        <is>
          <t>SUBJECT RECOMMENDATION (comp $/SF + premium)</t>
        </is>
      </c>
      <c r="J30" s="37">
        <f>'RD Condos'!B30</f>
        <v/>
      </c>
      <c r="K30" s="37">
        <f>'RD Condos'!U30</f>
        <v/>
      </c>
      <c r="L30" s="37">
        <f>IF('RD Condos'!H30="2",1,0)</f>
        <v/>
      </c>
      <c r="M30" s="37">
        <f>IF('RD Condos'!H30="3",1,0)</f>
        <v/>
      </c>
      <c r="N30" s="37">
        <f>'RD Condos'!AB30</f>
        <v/>
      </c>
    </row>
    <row r="31" ht="15" customHeight="1" s="38">
      <c r="A31" s="37" t="inlineStr">
        <is>
          <t>Weighted comp $/SF — Concord basis</t>
        </is>
      </c>
      <c r="C31" s="45">
        <f>E26*$H$2+E27*$H$3+E28*$H$4</f>
        <v/>
      </c>
      <c r="J31" s="37">
        <f>'RD Condos'!B31</f>
        <v/>
      </c>
      <c r="K31" s="37">
        <f>'RD Condos'!U31</f>
        <v/>
      </c>
      <c r="L31" s="37">
        <f>IF('RD Condos'!H31="2",1,0)</f>
        <v/>
      </c>
      <c r="M31" s="37">
        <f>IF('RD Condos'!H31="3",1,0)</f>
        <v/>
      </c>
      <c r="N31" s="37">
        <f>'RD Condos'!AB31</f>
        <v/>
      </c>
    </row>
    <row r="32" ht="15" customHeight="1" s="38">
      <c r="A32" s="37" t="inlineStr">
        <is>
          <t>Weighted comp $/SF — all-comp basis</t>
        </is>
      </c>
      <c r="C32" s="45">
        <f>E20*$H$2+E21*$H$3+E22*$H$4</f>
        <v/>
      </c>
      <c r="J32" s="37">
        <f>'RD Condos'!B32</f>
        <v/>
      </c>
      <c r="K32" s="37">
        <f>'RD Condos'!U32</f>
        <v/>
      </c>
      <c r="L32" s="37">
        <f>IF('RD Condos'!H32="2",1,0)</f>
        <v/>
      </c>
      <c r="M32" s="37">
        <f>IF('RD Condos'!H32="3",1,0)</f>
        <v/>
      </c>
      <c r="N32" s="37">
        <f>'RD Condos'!AB32</f>
        <v/>
      </c>
    </row>
    <row r="33" ht="15" customHeight="1" s="38">
      <c r="A33" s="37" t="inlineStr">
        <is>
          <t>Subject rental premium</t>
        </is>
      </c>
      <c r="C33" s="47">
        <f>C4</f>
        <v/>
      </c>
      <c r="J33" s="37">
        <f>'RD Condos'!B33</f>
        <v/>
      </c>
      <c r="K33" s="37">
        <f>'RD Condos'!U33</f>
        <v/>
      </c>
      <c r="L33" s="37">
        <f>IF('RD Condos'!H33="2",1,0)</f>
        <v/>
      </c>
      <c r="M33" s="37">
        <f>IF('RD Condos'!H33="3",1,0)</f>
        <v/>
      </c>
      <c r="N33" s="37">
        <f>'RD Condos'!AB33</f>
        <v/>
      </c>
    </row>
    <row r="34" ht="15" customHeight="1" s="38">
      <c r="A34" s="37" t="inlineStr">
        <is>
          <t>RECOMMENDED subject $/SF (Concord + premium)</t>
        </is>
      </c>
      <c r="C34" s="64">
        <f>C31*(1+C4)</f>
        <v/>
      </c>
      <c r="J34" s="37">
        <f>'RD Condos'!B34</f>
        <v/>
      </c>
      <c r="K34" s="37">
        <f>'RD Condos'!U34</f>
        <v/>
      </c>
      <c r="L34" s="37">
        <f>IF('RD Condos'!H34="2",1,0)</f>
        <v/>
      </c>
      <c r="M34" s="37">
        <f>IF('RD Condos'!H34="3",1,0)</f>
        <v/>
      </c>
      <c r="N34" s="37">
        <f>'RD Condos'!AB34</f>
        <v/>
      </c>
    </row>
    <row r="35" ht="15" customHeight="1" s="38">
      <c r="A35" s="37" t="inlineStr">
        <is>
          <t>Subject $/SF (all-comp + premium)</t>
        </is>
      </c>
      <c r="C35" s="45">
        <f>C32*(1+C4)</f>
        <v/>
      </c>
      <c r="J35" s="37">
        <f>'RD Condos'!B35</f>
        <v/>
      </c>
      <c r="K35" s="37">
        <f>'RD Condos'!U35</f>
        <v/>
      </c>
      <c r="L35" s="37">
        <f>IF('RD Condos'!H35="2",1,0)</f>
        <v/>
      </c>
      <c r="M35" s="37">
        <f>IF('RD Condos'!H35="3",1,0)</f>
        <v/>
      </c>
      <c r="N35" s="37">
        <f>'RD Condos'!AB35</f>
        <v/>
      </c>
    </row>
    <row r="36" ht="15" customHeight="1" s="38">
      <c r="A36" s="37" t="inlineStr">
        <is>
          <t>Prior model subject</t>
        </is>
      </c>
      <c r="C36" s="50" t="inlineStr">
        <is>
          <t>n/a — new subject (no prior model)</t>
        </is>
      </c>
      <c r="J36" s="37">
        <f>'RD Condos'!B36</f>
        <v/>
      </c>
      <c r="K36" s="37">
        <f>'RD Condos'!U36</f>
        <v/>
      </c>
      <c r="L36" s="37">
        <f>IF('RD Condos'!H36="2",1,0)</f>
        <v/>
      </c>
      <c r="M36" s="37">
        <f>IF('RD Condos'!H36="3",1,0)</f>
        <v/>
      </c>
      <c r="N36" s="37">
        <f>'RD Condos'!AB36</f>
        <v/>
      </c>
    </row>
    <row r="37" ht="15" customHeight="1" s="38">
      <c r="A37" s="37" t="inlineStr">
        <is>
          <t>Residual vs prior</t>
        </is>
      </c>
      <c r="C37" s="50" t="inlineStr">
        <is>
          <t>n/a</t>
        </is>
      </c>
      <c r="J37" s="37">
        <f>'RD Condos'!B37</f>
        <v/>
      </c>
      <c r="K37" s="37">
        <f>'RD Condos'!U37</f>
        <v/>
      </c>
      <c r="L37" s="37">
        <f>IF('RD Condos'!H37="2",1,0)</f>
        <v/>
      </c>
      <c r="M37" s="37">
        <f>IF('RD Condos'!H37="3",1,0)</f>
        <v/>
      </c>
      <c r="N37" s="37">
        <f>'RD Condos'!AB37</f>
        <v/>
      </c>
    </row>
    <row r="38" ht="15" customHeight="1" s="38">
      <c r="J38" s="37">
        <f>'RD Condos'!B38</f>
        <v/>
      </c>
      <c r="K38" s="37">
        <f>'RD Condos'!U38</f>
        <v/>
      </c>
      <c r="L38" s="37">
        <f>IF('RD Condos'!H38="2",1,0)</f>
        <v/>
      </c>
      <c r="M38" s="37">
        <f>IF('RD Condos'!H38="3",1,0)</f>
        <v/>
      </c>
      <c r="N38" s="37">
        <f>'RD Condos'!AB38</f>
        <v/>
      </c>
    </row>
    <row r="39" ht="15" customHeight="1" s="38">
      <c r="J39" s="37">
        <f>'RD Condos'!B39</f>
        <v/>
      </c>
      <c r="K39" s="37">
        <f>'RD Condos'!U39</f>
        <v/>
      </c>
      <c r="L39" s="37">
        <f>IF('RD Condos'!H39="2",1,0)</f>
        <v/>
      </c>
      <c r="M39" s="37">
        <f>IF('RD Condos'!H39="3",1,0)</f>
        <v/>
      </c>
      <c r="N39" s="37">
        <f>'RD Condos'!AB39</f>
        <v/>
      </c>
    </row>
    <row r="40" ht="15" customHeight="1" s="38">
      <c r="J40" s="37">
        <f>'RD Condos'!B40</f>
        <v/>
      </c>
      <c r="K40" s="37">
        <f>'RD Condos'!U40</f>
        <v/>
      </c>
      <c r="L40" s="37">
        <f>IF('RD Condos'!H40="2",1,0)</f>
        <v/>
      </c>
      <c r="M40" s="37">
        <f>IF('RD Condos'!H40="3",1,0)</f>
        <v/>
      </c>
      <c r="N40" s="37">
        <f>'RD Condos'!AB40</f>
        <v/>
      </c>
    </row>
    <row r="41"/>
    <row r="42">
      <c r="A42" s="53" t="inlineStr">
        <is>
          <t>INPUTS — how each hard-coded value was derived</t>
        </is>
      </c>
    </row>
    <row r="43">
      <c r="A43" s="53" t="inlineStr">
        <is>
          <t>Cell</t>
        </is>
      </c>
      <c r="B43" s="53" t="inlineStr">
        <is>
          <t>Lever?</t>
        </is>
      </c>
      <c r="C43" s="53" t="inlineStr">
        <is>
          <t>Source / derivation</t>
        </is>
      </c>
    </row>
    <row r="44">
      <c r="A44" s="37" t="inlineStr">
        <is>
          <t>C1 — Date filter</t>
        </is>
      </c>
      <c r="B44" s="37" t="inlineStr">
        <is>
          <t>yellow</t>
        </is>
      </c>
      <c r="C44" s="37" t="inlineStr">
        <is>
          <t>Trailing window; tunable. All 39 comps are 2026 leases (well inside 2025-01-01).</t>
        </is>
      </c>
    </row>
    <row r="45">
      <c r="A45" s="37" t="inlineStr">
        <is>
          <t>C2 — Parking adj</t>
        </is>
      </c>
      <c r="B45" s="37" t="inlineStr">
        <is>
          <t>derived</t>
        </is>
      </c>
      <c r="C45" s="37" t="inlineStr">
        <is>
          <t>LIVE LINEST over verified leased rows N2:N40 ~ J2:M40 (rent~SF+park+2BD+3BD). Not typed.</t>
        </is>
      </c>
    </row>
    <row r="46">
      <c r="A46" s="37" t="inlineStr">
        <is>
          <t>C3 — Apartment premium</t>
        </is>
      </c>
      <c r="B46" s="37" t="inlineStr">
        <is>
          <t>yellow</t>
        </is>
      </c>
      <c r="C46" s="37" t="inlineStr">
        <is>
          <t>Condo-vs-apartment markup; applies to RD Apartments!AN only. No apartment comps here -&gt; unused.</t>
        </is>
      </c>
    </row>
    <row r="47">
      <c r="A47" s="37" t="inlineStr">
        <is>
          <t>C4 — Subject premium</t>
        </is>
      </c>
      <c r="B47" s="37" t="inlineStr">
        <is>
          <t>yellow</t>
        </is>
      </c>
      <c r="C47" s="37" t="inlineStr">
        <is>
          <t>Judgment lever; brand-new 2029-30 waterfront vs comp blend. Anchored to PREMIUM BASIS below. 2026-06-16.</t>
        </is>
      </c>
    </row>
    <row r="48">
      <c r="A48" s="37" t="inlineStr">
        <is>
          <t>H2:H4 — Unit mix (den-incl)</t>
        </is>
      </c>
      <c r="B48" s="37" t="inlineStr">
        <is>
          <t>derived</t>
        </is>
      </c>
      <c r="C48" s="37">
        <f>IF(Q5&gt;0,Q#/Q5,Q#). Subject pre-con (no plans) -&gt; falls back to manual Q8:Q10. X-check: MIX BASIS below.</f>
        <v/>
      </c>
    </row>
    <row r="49">
      <c r="A49" s="37" t="inlineStr">
        <is>
          <t>Q8:Q10 — Manual mix</t>
        </is>
      </c>
      <c r="B49" s="37" t="inlineStr">
        <is>
          <t>yellow</t>
        </is>
      </c>
      <c r="C49" s="37" t="inlineStr">
        <is>
          <t>Estimated subject mix; supersede with developer suite schedule when published. 2026-06-16.</t>
        </is>
      </c>
    </row>
    <row r="50">
      <c r="A50" s="37" t="inlineStr">
        <is>
          <t>T2 — Suite count (511)</t>
        </is>
      </c>
      <c r="B50" s="37" t="inlineStr">
        <is>
          <t>blue</t>
        </is>
      </c>
      <c r="C50" s="37" t="inlineStr">
        <is>
          <t>vipcondos Step 0 (511 suites / 49 storeys).</t>
        </is>
      </c>
    </row>
    <row r="51">
      <c r="A51" s="37" t="inlineStr">
        <is>
          <t>T3:T6 — Output 4-way mix</t>
        </is>
      </c>
      <c r="B51" s="37" t="inlineStr">
        <is>
          <t>yellow</t>
        </is>
      </c>
      <c r="C51" s="37" t="inlineStr">
        <is>
          <t>Estimated 45/18/30/7 (1BR/1+Den/2BR/3BR); tunable. X-check: MIX BASIS below.</t>
        </is>
      </c>
    </row>
    <row r="52">
      <c r="A52" s="37" t="inlineStr">
        <is>
          <t>TRREB N62:Z64</t>
        </is>
      </c>
      <c r="B52" s="37" t="inlineStr">
        <is>
          <t>blue</t>
        </is>
      </c>
      <c r="C52" s="37" t="inlineStr">
        <is>
          <t>TRREB Q1-2026 Rental Market Report — district C01 / City of Toronto / GTA YoY, read 2026-06-16.</t>
        </is>
      </c>
    </row>
    <row r="53">
      <c r="A53" s="37" t="inlineStr">
        <is>
          <t>L58 — Ext. regression coef</t>
        </is>
      </c>
      <c r="B53" s="37" t="inlineStr">
        <is>
          <t>blue</t>
        </is>
      </c>
      <c r="C53" s="37" t="inlineStr">
        <is>
          <t>Optional external predictor; 0 = unused.</t>
        </is>
      </c>
    </row>
    <row r="54">
      <c r="A54" s="78" t="inlineStr">
        <is>
          <t>LINEST/helper convention: verified-SF leased rows are kept contiguous (rows 2-40 = the 39 verified comps). When SF is recovered for SF-ceiling rows or new leases are added, place them in the verified block and extend N#:N# / J#:M# to the new last verified row — never include blank-SF rows (LINEST errors on blanks).</t>
        </is>
      </c>
    </row>
    <row r="55"/>
    <row r="56">
      <c r="A56" s="53" t="inlineStr">
        <is>
          <t>PREMIUM BASIS (live) — vintage $/SF spread anchoring C4</t>
        </is>
      </c>
    </row>
    <row r="57">
      <c r="A57" s="53" t="inlineStr">
        <is>
          <t>Metric</t>
        </is>
      </c>
      <c r="C57" s="53" t="inlineStr">
        <is>
          <t>$/SF</t>
        </is>
      </c>
    </row>
    <row r="58">
      <c r="A58" s="37" t="inlineStr">
        <is>
          <t>Newest comp (Concord 2025) avg $/SF</t>
        </is>
      </c>
      <c r="C58" s="83">
        <f>IFERROR(AVERAGEIFS('RD Condos'!$E:$E,'RD Condos'!$K:$K,"Concord Canada House",'RD Condos'!$A:$A,1),"")</f>
        <v/>
      </c>
      <c r="D58" s="78" t="inlineStr">
        <is>
          <t>Forward new-build premium is judgment, anchored to these live numbers.</t>
        </is>
      </c>
    </row>
    <row r="59">
      <c r="A59" s="37" t="inlineStr">
        <is>
          <t>All-comp avg $/SF</t>
        </is>
      </c>
      <c r="C59" s="83">
        <f>IFERROR(AVERAGEIFS('RD Condos'!$AN:$AN,'RD Condos'!$A:$A,1),"")</f>
        <v/>
      </c>
    </row>
    <row r="60">
      <c r="A60" s="37" t="inlineStr">
        <is>
          <t>Oldest comp (Aqua 2003) avg $/SF</t>
        </is>
      </c>
      <c r="C60" s="83">
        <f>IFERROR(AVERAGEIFS('RD Condos'!$E:$E,'RD Condos'!$K:$K,"Aqua",'RD Condos'!$A:$A,1),"")</f>
        <v/>
      </c>
    </row>
    <row r="61">
      <c r="A61" s="37" t="inlineStr">
        <is>
          <t>Observed vintage premium — newest / all-comp - 1</t>
        </is>
      </c>
      <c r="C61" s="55">
        <f>IFERROR(C58/C59-1,"")</f>
        <v/>
      </c>
    </row>
    <row r="62">
      <c r="A62" s="37" t="inlineStr">
        <is>
          <t>Observed vintage premium — newest / oldest - 1</t>
        </is>
      </c>
      <c r="C62" s="55">
        <f>IFERROR(C58/C60-1,"")</f>
        <v/>
      </c>
    </row>
    <row r="63">
      <c r="A63" s="37" t="inlineStr">
        <is>
          <t>C4 subject premium (sits within observed range)</t>
        </is>
      </c>
      <c r="C63" s="55">
        <f>C4</f>
        <v/>
      </c>
    </row>
    <row r="64"/>
    <row r="65">
      <c r="A65" s="53" t="inlineStr">
        <is>
          <t>MIX BASIS (live) — comp-set bed distribution vs estimated subject mix</t>
        </is>
      </c>
    </row>
    <row r="66">
      <c r="A66" s="53" t="inlineStr">
        <is>
          <t>Bucket</t>
        </is>
      </c>
      <c r="B66" s="53" t="inlineStr">
        <is>
          <t>Comp #</t>
        </is>
      </c>
      <c r="C66" s="53" t="inlineStr">
        <is>
          <t>Comp share</t>
        </is>
      </c>
      <c r="D66" s="53" t="inlineStr">
        <is>
          <t>Subject est.</t>
        </is>
      </c>
    </row>
    <row r="67">
      <c r="A67" s="37" t="inlineStr">
        <is>
          <t>1-Bed (H=1, den-incl)</t>
        </is>
      </c>
      <c r="B67" s="37">
        <f>COUNTIFS('RD Condos'!$H:$H,"1",'RD Condos'!$A:$A,1)</f>
        <v/>
      </c>
      <c r="C67" s="55">
        <f>IFERROR(B67/$B$70,"")</f>
        <v/>
      </c>
      <c r="D67" s="55">
        <f>H2</f>
        <v/>
      </c>
    </row>
    <row r="68">
      <c r="A68" s="37" t="inlineStr">
        <is>
          <t>2-Bed (H=2, incl 2+den)</t>
        </is>
      </c>
      <c r="B68" s="37">
        <f>COUNTIFS('RD Condos'!$H:$H,"2",'RD Condos'!$A:$A,1)</f>
        <v/>
      </c>
      <c r="C68" s="55">
        <f>IFERROR(B68/$B$70,"")</f>
        <v/>
      </c>
      <c r="D68" s="55">
        <f>H3</f>
        <v/>
      </c>
    </row>
    <row r="69">
      <c r="A69" s="37" t="inlineStr">
        <is>
          <t>3-Bed (H=3)</t>
        </is>
      </c>
      <c r="B69" s="37">
        <f>COUNTIFS('RD Condos'!$H:$H,"3",'RD Condos'!$A:$A,1)</f>
        <v/>
      </c>
      <c r="C69" s="55">
        <f>IFERROR(B69/$B$70,"")</f>
        <v/>
      </c>
      <c r="D69" s="55">
        <f>H4</f>
        <v/>
      </c>
    </row>
    <row r="70">
      <c r="A70" s="37" t="inlineStr">
        <is>
          <t>Total included</t>
        </is>
      </c>
      <c r="B70" s="37">
        <f>B67+B68+B69</f>
        <v/>
      </c>
    </row>
    <row r="71">
      <c r="A71" s="37" t="inlineStr">
        <is>
          <t>1+Den share (Q=1+1)</t>
        </is>
      </c>
      <c r="B71" s="37">
        <f>COUNTIFS('RD Condos'!$Q:$Q,"1+1",'RD Condos'!$A:$A,1)</f>
        <v/>
      </c>
      <c r="C71" s="55">
        <f>IFERROR(B71/$B$70,"")</f>
        <v/>
      </c>
      <c r="D71" s="55">
        <f>T4</f>
        <v/>
      </c>
    </row>
    <row r="72">
      <c r="A72" s="78" t="inlineStr">
        <is>
          <t>Comp set skews more 2-Bed than the estimated subject mix; authoritative subject mix = developer suite schedule once published.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O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sheetData>
    <row r="1" ht="52.2" customHeight="1" s="38">
      <c r="A1" s="40" t="inlineStr">
        <is>
          <t>Include</t>
        </is>
      </c>
      <c r="B1" s="40" t="inlineStr">
        <is>
          <t>Sq Ft.</t>
        </is>
      </c>
      <c r="C1" s="40" t="inlineStr">
        <is>
          <t>Rent</t>
        </is>
      </c>
      <c r="D1" s="40" t="inlineStr">
        <is>
          <t>Adj. Rent</t>
        </is>
      </c>
      <c r="E1" s="40" t="inlineStr">
        <is>
          <t>$/sq ft</t>
        </is>
      </c>
      <c r="F1" s="40" t="inlineStr">
        <is>
          <t>Adj. $/sq ft</t>
        </is>
      </c>
      <c r="G1" s="40" t="inlineStr">
        <is>
          <t>Adj BD</t>
        </is>
      </c>
      <c r="H1" s="40" t="inlineStr">
        <is>
          <t>Beds Number</t>
        </is>
      </c>
      <c r="I1" s="40" t="inlineStr">
        <is>
          <t>Den</t>
        </is>
      </c>
      <c r="J1" s="40" t="inlineStr">
        <is>
          <t>Date</t>
        </is>
      </c>
      <c r="K1" s="40" t="inlineStr">
        <is>
          <t>Building Name</t>
        </is>
      </c>
      <c r="L1" s="40" t="inlineStr">
        <is>
          <t>Building Address</t>
        </is>
      </c>
      <c r="M1" s="40" t="inlineStr">
        <is>
          <t>Building City</t>
        </is>
      </c>
      <c r="N1" s="40" t="inlineStr">
        <is>
          <t>Developer</t>
        </is>
      </c>
      <c r="O1" s="40" t="inlineStr">
        <is>
          <t>Unit #</t>
        </is>
      </c>
      <c r="P1" s="40" t="inlineStr">
        <is>
          <t>Unit Address</t>
        </is>
      </c>
      <c r="Q1" s="40" t="inlineStr">
        <is>
          <t>Beds</t>
        </is>
      </c>
      <c r="R1" s="40" t="inlineStr">
        <is>
          <t>Baths</t>
        </is>
      </c>
      <c r="S1" s="40" t="inlineStr">
        <is>
          <t>Sqft (Condos.ca)</t>
        </is>
      </c>
      <c r="T1" s="40" t="inlineStr">
        <is>
          <t>MLS Size Range</t>
        </is>
      </c>
      <c r="U1" s="40" t="inlineStr">
        <is>
          <t># Parking</t>
        </is>
      </c>
      <c r="V1" s="40" t="inlineStr">
        <is>
          <t>Parking Included</t>
        </is>
      </c>
      <c r="W1" s="40" t="inlineStr">
        <is>
          <t>Locker</t>
        </is>
      </c>
      <c r="X1" s="40" t="inlineStr">
        <is>
          <t>Outdoor Space</t>
        </is>
      </c>
      <c r="Y1" s="40" t="inlineStr">
        <is>
          <t>Exposure</t>
        </is>
      </c>
      <c r="Z1" s="40" t="inlineStr">
        <is>
          <t>Building Age</t>
        </is>
      </c>
      <c r="AA1" s="40" t="inlineStr">
        <is>
          <t>Building Amenities</t>
        </is>
      </c>
      <c r="AB1" s="40" t="inlineStr">
        <is>
          <t>Leased Rent ($)</t>
        </is>
      </c>
      <c r="AC1" s="40" t="inlineStr">
        <is>
          <t>Listed Rent ($)</t>
        </is>
      </c>
      <c r="AD1" s="40" t="inlineStr">
        <is>
          <t>PSF (Calculated)</t>
        </is>
      </c>
      <c r="AE1" s="40" t="inlineStr">
        <is>
          <t>PSF (Listing)</t>
        </is>
      </c>
      <c r="AF1" s="40" t="inlineStr">
        <is>
          <t>Furnished</t>
        </is>
      </c>
      <c r="AG1" s="40" t="inlineStr">
        <is>
          <t>Hydro Included</t>
        </is>
      </c>
      <c r="AH1" s="40" t="inlineStr">
        <is>
          <t>Water Included</t>
        </is>
      </c>
      <c r="AI1" s="40" t="inlineStr">
        <is>
          <t>Lease Date</t>
        </is>
      </c>
      <c r="AJ1" s="40" t="inlineStr">
        <is>
          <t>MLS#</t>
        </is>
      </c>
      <c r="AK1" s="40" t="inlineStr">
        <is>
          <t>Listing URL</t>
        </is>
      </c>
      <c r="AL1" s="40" t="inlineStr">
        <is>
          <t>Description</t>
        </is>
      </c>
      <c r="AM1" s="40" t="inlineStr">
        <is>
          <t>Product Type</t>
        </is>
      </c>
      <c r="AN1" s="40" t="inlineStr">
        <is>
          <t>$/SF (Product-Adj)</t>
        </is>
      </c>
      <c r="AO1" s="53" t="inlineStr">
        <is>
          <t>Date Scraped</t>
        </is>
      </c>
    </row>
    <row r="2" ht="15" customHeight="1" s="38">
      <c r="A2" s="37">
        <f>IF(AND(ISNUMBER(B2),B2&gt;0,ISNUMBER(AB2),AB2&gt;0,J2&gt;=Data_Summary!$C$1),1,0)</f>
        <v/>
      </c>
      <c r="B2" s="79" t="n">
        <v>908</v>
      </c>
      <c r="C2" s="37">
        <f>IF(ISNUMBER(AB2),AB2,"")</f>
        <v/>
      </c>
      <c r="D2" s="37">
        <f>IF(ISNUMBER(C2),C2-U2*Data_Summary!$C$2,"")</f>
        <v/>
      </c>
      <c r="E2" s="79">
        <f>IFERROR(C2/B2,"")</f>
        <v/>
      </c>
      <c r="F2" s="37">
        <f>IFERROR(D2/B2,"")</f>
        <v/>
      </c>
      <c r="G2" s="37">
        <f>Q2</f>
        <v/>
      </c>
      <c r="H2" s="37">
        <f>IFERROR(LEFT(G2,1),"")</f>
        <v/>
      </c>
      <c r="I2" s="37">
        <f>IF(LEN(G2)&gt;1,1,0)</f>
        <v/>
      </c>
      <c r="J2" s="80" t="n">
        <v>46185</v>
      </c>
      <c r="K2" s="37" t="inlineStr">
        <is>
          <t>Concord Canada House</t>
        </is>
      </c>
      <c r="L2" s="37" t="inlineStr">
        <is>
          <t>23 Spadina Ave</t>
        </is>
      </c>
      <c r="M2" s="37" t="inlineStr">
        <is>
          <t>Toronto (CityPlace)</t>
        </is>
      </c>
      <c r="N2" s="37" t="n">
        <v>2025</v>
      </c>
      <c r="O2" s="37" t="inlineStr">
        <is>
          <t>2505</t>
        </is>
      </c>
      <c r="P2" s="37" t="inlineStr">
        <is>
          <t>2505 - 23 Spadina Ave</t>
        </is>
      </c>
      <c r="Q2" s="37" t="inlineStr">
        <is>
          <t>3</t>
        </is>
      </c>
      <c r="R2" s="37" t="n">
        <v>2</v>
      </c>
      <c r="S2" s="37" t="n">
        <v>908</v>
      </c>
      <c r="U2" s="37" t="n">
        <v>1</v>
      </c>
      <c r="V2" s="37" t="inlineStr">
        <is>
          <t>Yes</t>
        </is>
      </c>
      <c r="Z2" s="37" t="inlineStr">
        <is>
          <t>Built 2025</t>
        </is>
      </c>
      <c r="AB2" s="59" t="n">
        <v>4300</v>
      </c>
      <c r="AC2" s="59" t="n">
        <v>4300</v>
      </c>
      <c r="AD2" s="37">
        <f>IFERROR(AB2/B2,"")</f>
        <v/>
      </c>
      <c r="AE2" s="37">
        <f>IFERROR(AC2/B2,"")</f>
        <v/>
      </c>
      <c r="AI2" s="37" t="inlineStr">
        <is>
          <t>2026-06-12</t>
        </is>
      </c>
      <c r="AJ2" s="37" t="inlineStr">
        <is>
          <t>C13234234</t>
        </is>
      </c>
      <c r="AK2" s="37" t="inlineStr">
        <is>
          <t>https://condos.ca/toronto/concord-canada-house-23-spadina-ave-1-3-concord-cityplace-way/unit-2505-C13234234</t>
        </is>
      </c>
      <c r="AL2" s="37" t="inlineStr">
        <is>
          <t>Leased comp. Interior SF verified (condos.ca per-unit registered area), the 2026-06-16 pull (re-confirm on live page next run).</t>
        </is>
      </c>
      <c r="AM2" s="37" t="inlineStr">
        <is>
          <t>Condo</t>
        </is>
      </c>
      <c r="AN2" s="37">
        <f>IFERROR(E2*(1+IF(AM2="Apartment",Data_Summary!$C$3,0)),"")</f>
        <v/>
      </c>
      <c r="AO2" s="85" t="n">
        <v>46189</v>
      </c>
    </row>
    <row r="3" ht="15" customHeight="1" s="38">
      <c r="A3" s="37">
        <f>IF(AND(ISNUMBER(B3),B3&gt;0,ISNUMBER(AB3),AB3&gt;0,J3&gt;=Data_Summary!$C$1),1,0)</f>
        <v/>
      </c>
      <c r="B3" s="79" t="n">
        <v>1050</v>
      </c>
      <c r="C3" s="37">
        <f>IF(ISNUMBER(AB3),AB3,"")</f>
        <v/>
      </c>
      <c r="D3" s="37">
        <f>IF(ISNUMBER(C3),C3-U3*Data_Summary!$C$2,"")</f>
        <v/>
      </c>
      <c r="E3" s="79">
        <f>IFERROR(C3/B3,"")</f>
        <v/>
      </c>
      <c r="F3" s="37">
        <f>IFERROR(D3/B3,"")</f>
        <v/>
      </c>
      <c r="G3" s="37">
        <f>Q3</f>
        <v/>
      </c>
      <c r="H3" s="37">
        <f>IFERROR(LEFT(G3,1),"")</f>
        <v/>
      </c>
      <c r="I3" s="37">
        <f>IF(LEN(G3)&gt;1,1,0)</f>
        <v/>
      </c>
      <c r="J3" s="80" t="n">
        <v>46185</v>
      </c>
      <c r="K3" s="37" t="inlineStr">
        <is>
          <t>Concord Canada House</t>
        </is>
      </c>
      <c r="L3" s="37" t="inlineStr">
        <is>
          <t>23 Spadina Ave</t>
        </is>
      </c>
      <c r="M3" s="37" t="inlineStr">
        <is>
          <t>Toronto (CityPlace)</t>
        </is>
      </c>
      <c r="N3" s="37" t="n">
        <v>2025</v>
      </c>
      <c r="O3" s="37" t="inlineStr">
        <is>
          <t>6201</t>
        </is>
      </c>
      <c r="P3" s="37" t="inlineStr">
        <is>
          <t>6201 - 23 Spadina Ave</t>
        </is>
      </c>
      <c r="Q3" s="37" t="inlineStr">
        <is>
          <t>2</t>
        </is>
      </c>
      <c r="R3" s="37" t="n">
        <v>3</v>
      </c>
      <c r="S3" s="37" t="n">
        <v>1050</v>
      </c>
      <c r="U3" s="37" t="n">
        <v>1</v>
      </c>
      <c r="V3" s="37" t="inlineStr">
        <is>
          <t>Yes</t>
        </is>
      </c>
      <c r="Z3" s="37" t="inlineStr">
        <is>
          <t>Built 2025</t>
        </is>
      </c>
      <c r="AB3" s="59" t="n">
        <v>4500</v>
      </c>
      <c r="AC3" s="59" t="n">
        <v>4900</v>
      </c>
      <c r="AD3" s="37">
        <f>IFERROR(AB3/B3,"")</f>
        <v/>
      </c>
      <c r="AE3" s="37">
        <f>IFERROR(AC3/B3,"")</f>
        <v/>
      </c>
      <c r="AI3" s="37" t="inlineStr">
        <is>
          <t>2026-06-12</t>
        </is>
      </c>
      <c r="AJ3" s="37" t="inlineStr">
        <is>
          <t>C12939248</t>
        </is>
      </c>
      <c r="AK3" s="37" t="inlineStr">
        <is>
          <t>https://condos.ca/toronto/concord-canada-house-23-spadina-ave-1-3-concord-cityplace-way/unit-6201-C12939248</t>
        </is>
      </c>
      <c r="AL3" s="37" t="inlineStr">
        <is>
          <t>Leased comp. Interior SF verified (condos.ca per-unit registered area), the 2026-06-16 pull (re-confirm on live page next run).</t>
        </is>
      </c>
      <c r="AM3" s="37" t="inlineStr">
        <is>
          <t>Condo</t>
        </is>
      </c>
      <c r="AN3" s="37">
        <f>IFERROR(E3*(1+IF(AM3="Apartment",Data_Summary!$C$3,0)),"")</f>
        <v/>
      </c>
      <c r="AO3" s="85" t="n">
        <v>46189</v>
      </c>
    </row>
    <row r="4" ht="15" customHeight="1" s="38">
      <c r="A4" s="37">
        <f>IF(AND(ISNUMBER(B4),B4&gt;0,ISNUMBER(AB4),AB4&gt;0,J4&gt;=Data_Summary!$C$1),1,0)</f>
        <v/>
      </c>
      <c r="B4" s="79" t="n">
        <v>718</v>
      </c>
      <c r="C4" s="37">
        <f>IF(ISNUMBER(AB4),AB4,"")</f>
        <v/>
      </c>
      <c r="D4" s="37">
        <f>IF(ISNUMBER(C4),C4-U4*Data_Summary!$C$2,"")</f>
        <v/>
      </c>
      <c r="E4" s="79">
        <f>IFERROR(C4/B4,"")</f>
        <v/>
      </c>
      <c r="F4" s="37">
        <f>IFERROR(D4/B4,"")</f>
        <v/>
      </c>
      <c r="G4" s="37">
        <f>Q4</f>
        <v/>
      </c>
      <c r="H4" s="37">
        <f>IFERROR(LEFT(G4,1),"")</f>
        <v/>
      </c>
      <c r="I4" s="37">
        <f>IF(LEN(G4)&gt;1,1,0)</f>
        <v/>
      </c>
      <c r="J4" s="80" t="n">
        <v>46181</v>
      </c>
      <c r="K4" s="37" t="inlineStr">
        <is>
          <t>Concord Canada House</t>
        </is>
      </c>
      <c r="L4" s="37" t="inlineStr">
        <is>
          <t>23 Spadina Ave</t>
        </is>
      </c>
      <c r="M4" s="37" t="inlineStr">
        <is>
          <t>Toronto (CityPlace)</t>
        </is>
      </c>
      <c r="N4" s="37" t="n">
        <v>2025</v>
      </c>
      <c r="O4" s="37" t="inlineStr">
        <is>
          <t>5611</t>
        </is>
      </c>
      <c r="P4" s="37" t="inlineStr">
        <is>
          <t>5611 - 23 Spadina Ave</t>
        </is>
      </c>
      <c r="Q4" s="37" t="inlineStr">
        <is>
          <t>2</t>
        </is>
      </c>
      <c r="R4" s="37" t="n">
        <v>2</v>
      </c>
      <c r="S4" s="37" t="n">
        <v>718</v>
      </c>
      <c r="U4" s="37" t="n">
        <v>1</v>
      </c>
      <c r="V4" s="37" t="inlineStr">
        <is>
          <t>Yes</t>
        </is>
      </c>
      <c r="Z4" s="37" t="inlineStr">
        <is>
          <t>Built 2025</t>
        </is>
      </c>
      <c r="AB4" s="59" t="n">
        <v>3500</v>
      </c>
      <c r="AC4" s="59" t="n">
        <v>3400</v>
      </c>
      <c r="AD4" s="37">
        <f>IFERROR(AB4/B4,"")</f>
        <v/>
      </c>
      <c r="AE4" s="37">
        <f>IFERROR(AC4/B4,"")</f>
        <v/>
      </c>
      <c r="AI4" s="37" t="inlineStr">
        <is>
          <t>2026-06-08</t>
        </is>
      </c>
      <c r="AJ4" s="37" t="inlineStr">
        <is>
          <t>C13238978</t>
        </is>
      </c>
      <c r="AK4" s="37" t="inlineStr">
        <is>
          <t>https://condos.ca/toronto/concord-canada-house-23-spadina-ave-1-3-concord-cityplace-way/unit-5611-C13238978</t>
        </is>
      </c>
      <c r="AL4" s="37" t="inlineStr">
        <is>
          <t>Leased comp. Interior SF verified (condos.ca per-unit registered area), the 2026-06-16 pull (re-confirm on live page next run).</t>
        </is>
      </c>
      <c r="AM4" s="37" t="inlineStr">
        <is>
          <t>Condo</t>
        </is>
      </c>
      <c r="AN4" s="37">
        <f>IFERROR(E4*(1+IF(AM4="Apartment",Data_Summary!$C$3,0)),"")</f>
        <v/>
      </c>
      <c r="AO4" s="85" t="n">
        <v>46189</v>
      </c>
    </row>
    <row r="5" ht="15" customHeight="1" s="38">
      <c r="A5" s="37">
        <f>IF(AND(ISNUMBER(B5),B5&gt;0,ISNUMBER(AB5),AB5&gt;0,J5&gt;=Data_Summary!$C$1),1,0)</f>
        <v/>
      </c>
      <c r="B5" s="79" t="n">
        <v>692</v>
      </c>
      <c r="C5" s="37">
        <f>IF(ISNUMBER(AB5),AB5,"")</f>
        <v/>
      </c>
      <c r="D5" s="37">
        <f>IF(ISNUMBER(C5),C5-U5*Data_Summary!$C$2,"")</f>
        <v/>
      </c>
      <c r="E5" s="79">
        <f>IFERROR(C5/B5,"")</f>
        <v/>
      </c>
      <c r="F5" s="37">
        <f>IFERROR(D5/B5,"")</f>
        <v/>
      </c>
      <c r="G5" s="37">
        <f>Q5</f>
        <v/>
      </c>
      <c r="H5" s="37">
        <f>IFERROR(LEFT(G5,1),"")</f>
        <v/>
      </c>
      <c r="I5" s="37">
        <f>IF(LEN(G5)&gt;1,1,0)</f>
        <v/>
      </c>
      <c r="J5" s="80" t="n">
        <v>46178</v>
      </c>
      <c r="K5" s="37" t="inlineStr">
        <is>
          <t>Concord Canada House</t>
        </is>
      </c>
      <c r="L5" s="37" t="inlineStr">
        <is>
          <t>23 Spadina Ave</t>
        </is>
      </c>
      <c r="M5" s="37" t="inlineStr">
        <is>
          <t>Toronto (CityPlace)</t>
        </is>
      </c>
      <c r="N5" s="37" t="n">
        <v>2025</v>
      </c>
      <c r="O5" s="37" t="inlineStr">
        <is>
          <t>1705</t>
        </is>
      </c>
      <c r="P5" s="37" t="inlineStr">
        <is>
          <t>1705 - 23 Spadina Ave</t>
        </is>
      </c>
      <c r="Q5" s="37" t="inlineStr">
        <is>
          <t>2</t>
        </is>
      </c>
      <c r="R5" s="37" t="n">
        <v>2</v>
      </c>
      <c r="S5" s="37" t="n">
        <v>692</v>
      </c>
      <c r="U5" s="37" t="n">
        <v>1</v>
      </c>
      <c r="V5" s="37" t="inlineStr">
        <is>
          <t>Yes</t>
        </is>
      </c>
      <c r="Z5" s="37" t="inlineStr">
        <is>
          <t>Built 2025</t>
        </is>
      </c>
      <c r="AB5" s="59" t="n">
        <v>3300</v>
      </c>
      <c r="AC5" s="59" t="n">
        <v>3400</v>
      </c>
      <c r="AD5" s="37">
        <f>IFERROR(AB5/B5,"")</f>
        <v/>
      </c>
      <c r="AE5" s="37">
        <f>IFERROR(AC5/B5,"")</f>
        <v/>
      </c>
      <c r="AI5" s="37" t="inlineStr">
        <is>
          <t>2026-06-05</t>
        </is>
      </c>
      <c r="AJ5" s="37" t="inlineStr">
        <is>
          <t>C13046560</t>
        </is>
      </c>
      <c r="AK5" s="37" t="inlineStr">
        <is>
          <t>https://condos.ca/toronto/concord-canada-house-23-spadina-ave-1-3-concord-cityplace-way/unit-1705-C13046560</t>
        </is>
      </c>
      <c r="AL5" s="37" t="inlineStr">
        <is>
          <t>Leased comp. Interior SF verified (condos.ca per-unit registered area), the 2026-06-16 pull (re-confirm on live page next run).</t>
        </is>
      </c>
      <c r="AM5" s="37" t="inlineStr">
        <is>
          <t>Condo</t>
        </is>
      </c>
      <c r="AN5" s="37">
        <f>IFERROR(E5*(1+IF(AM5="Apartment",Data_Summary!$C$3,0)),"")</f>
        <v/>
      </c>
      <c r="AO5" s="85" t="n">
        <v>46189</v>
      </c>
    </row>
    <row r="6" ht="15" customHeight="1" s="38">
      <c r="A6" s="37">
        <f>IF(AND(ISNUMBER(B6),B6&gt;0,ISNUMBER(AB6),AB6&gt;0,J6&gt;=Data_Summary!$C$1),1,0)</f>
        <v/>
      </c>
      <c r="B6" s="79" t="n">
        <v>736</v>
      </c>
      <c r="C6" s="37">
        <f>IF(ISNUMBER(AB6),AB6,"")</f>
        <v/>
      </c>
      <c r="D6" s="37">
        <f>IF(ISNUMBER(C6),C6-U6*Data_Summary!$C$2,"")</f>
        <v/>
      </c>
      <c r="E6" s="79">
        <f>IFERROR(C6/B6,"")</f>
        <v/>
      </c>
      <c r="F6" s="37">
        <f>IFERROR(D6/B6,"")</f>
        <v/>
      </c>
      <c r="G6" s="37">
        <f>Q6</f>
        <v/>
      </c>
      <c r="H6" s="37">
        <f>IFERROR(LEFT(G6,1),"")</f>
        <v/>
      </c>
      <c r="I6" s="37">
        <f>IF(LEN(G6)&gt;1,1,0)</f>
        <v/>
      </c>
      <c r="J6" s="80" t="n">
        <v>46182</v>
      </c>
      <c r="K6" s="37" t="inlineStr">
        <is>
          <t>Concord Canada House</t>
        </is>
      </c>
      <c r="L6" s="37" t="inlineStr">
        <is>
          <t>23 Spadina Ave</t>
        </is>
      </c>
      <c r="M6" s="37" t="inlineStr">
        <is>
          <t>Toronto (CityPlace)</t>
        </is>
      </c>
      <c r="N6" s="37" t="n">
        <v>2025</v>
      </c>
      <c r="O6" s="37" t="inlineStr">
        <is>
          <t>312</t>
        </is>
      </c>
      <c r="P6" s="37" t="inlineStr">
        <is>
          <t>312 - 23 Spadina Ave</t>
        </is>
      </c>
      <c r="Q6" s="37" t="inlineStr">
        <is>
          <t>2</t>
        </is>
      </c>
      <c r="R6" s="37" t="n">
        <v>2</v>
      </c>
      <c r="S6" s="37" t="n">
        <v>736</v>
      </c>
      <c r="U6" s="37" t="n">
        <v>0</v>
      </c>
      <c r="V6" s="37" t="inlineStr">
        <is>
          <t>No</t>
        </is>
      </c>
      <c r="Z6" s="37" t="inlineStr">
        <is>
          <t>Built 2025</t>
        </is>
      </c>
      <c r="AB6" s="59" t="n">
        <v>3050</v>
      </c>
      <c r="AC6" s="59" t="n">
        <v>3150</v>
      </c>
      <c r="AD6" s="37">
        <f>IFERROR(AB6/B6,"")</f>
        <v/>
      </c>
      <c r="AE6" s="37">
        <f>IFERROR(AC6/B6,"")</f>
        <v/>
      </c>
      <c r="AI6" s="37" t="inlineStr">
        <is>
          <t>2026-06-09</t>
        </is>
      </c>
      <c r="AJ6" s="37" t="inlineStr">
        <is>
          <t>C13157296</t>
        </is>
      </c>
      <c r="AK6" s="37" t="inlineStr">
        <is>
          <t>https://condos.ca/toronto/concord-canada-house-23-spadina-ave-1-3-concord-cityplace-way/unit-312-C13157296</t>
        </is>
      </c>
      <c r="AL6" s="37" t="inlineStr">
        <is>
          <t>Leased comp. Interior SF verified (condos.ca per-unit registered area), the 2026-06-16 pull (re-confirm on live page next run).</t>
        </is>
      </c>
      <c r="AM6" s="37" t="inlineStr">
        <is>
          <t>Condo</t>
        </is>
      </c>
      <c r="AN6" s="37">
        <f>IFERROR(E6*(1+IF(AM6="Apartment",Data_Summary!$C$3,0)),"")</f>
        <v/>
      </c>
      <c r="AO6" s="85" t="n">
        <v>46189</v>
      </c>
    </row>
    <row r="7" ht="15" customHeight="1" s="38">
      <c r="A7" s="37">
        <f>IF(AND(ISNUMBER(B7),B7&gt;0,ISNUMBER(AB7),AB7&gt;0,J7&gt;=Data_Summary!$C$1),1,0)</f>
        <v/>
      </c>
      <c r="B7" s="79" t="n">
        <v>650</v>
      </c>
      <c r="C7" s="37">
        <f>IF(ISNUMBER(AB7),AB7,"")</f>
        <v/>
      </c>
      <c r="D7" s="37">
        <f>IF(ISNUMBER(C7),C7-U7*Data_Summary!$C$2,"")</f>
        <v/>
      </c>
      <c r="E7" s="79">
        <f>IFERROR(C7/B7,"")</f>
        <v/>
      </c>
      <c r="F7" s="37">
        <f>IFERROR(D7/B7,"")</f>
        <v/>
      </c>
      <c r="G7" s="37">
        <f>Q7</f>
        <v/>
      </c>
      <c r="H7" s="37">
        <f>IFERROR(LEFT(G7,1),"")</f>
        <v/>
      </c>
      <c r="I7" s="37">
        <f>IF(LEN(G7)&gt;1,1,0)</f>
        <v/>
      </c>
      <c r="J7" s="80" t="n">
        <v>46183</v>
      </c>
      <c r="K7" s="37" t="inlineStr">
        <is>
          <t>Concord Canada House</t>
        </is>
      </c>
      <c r="L7" s="37" t="inlineStr">
        <is>
          <t>23 Spadina Ave</t>
        </is>
      </c>
      <c r="M7" s="37" t="inlineStr">
        <is>
          <t>Toronto (CityPlace)</t>
        </is>
      </c>
      <c r="N7" s="37" t="n">
        <v>2025</v>
      </c>
      <c r="O7" s="37" t="inlineStr">
        <is>
          <t>2106</t>
        </is>
      </c>
      <c r="P7" s="37" t="inlineStr">
        <is>
          <t>2106 - 23 Spadina Ave</t>
        </is>
      </c>
      <c r="Q7" s="37" t="inlineStr">
        <is>
          <t>1+1</t>
        </is>
      </c>
      <c r="R7" s="37" t="n">
        <v>2</v>
      </c>
      <c r="S7" s="37" t="n">
        <v>650</v>
      </c>
      <c r="U7" s="37" t="n">
        <v>0</v>
      </c>
      <c r="V7" s="37" t="inlineStr">
        <is>
          <t>No</t>
        </is>
      </c>
      <c r="Z7" s="37" t="inlineStr">
        <is>
          <t>Built 2025</t>
        </is>
      </c>
      <c r="AB7" s="59" t="n">
        <v>2750</v>
      </c>
      <c r="AC7" s="59" t="n">
        <v>2850</v>
      </c>
      <c r="AD7" s="37">
        <f>IFERROR(AB7/B7,"")</f>
        <v/>
      </c>
      <c r="AE7" s="37">
        <f>IFERROR(AC7/B7,"")</f>
        <v/>
      </c>
      <c r="AI7" s="37" t="inlineStr">
        <is>
          <t>2026-06-10</t>
        </is>
      </c>
      <c r="AJ7" s="37" t="inlineStr">
        <is>
          <t>C13217872</t>
        </is>
      </c>
      <c r="AK7" s="37" t="inlineStr">
        <is>
          <t>https://condos.ca/toronto/concord-canada-house-23-spadina-ave-1-3-concord-cityplace-way/unit-2106-C13217872</t>
        </is>
      </c>
      <c r="AL7" s="37" t="inlineStr">
        <is>
          <t>Leased comp. Interior SF verified (condos.ca per-unit registered area), the 2026-06-16 pull (re-confirm on live page next run).</t>
        </is>
      </c>
      <c r="AM7" s="37" t="inlineStr">
        <is>
          <t>Condo</t>
        </is>
      </c>
      <c r="AN7" s="37">
        <f>IFERROR(E7*(1+IF(AM7="Apartment",Data_Summary!$C$3,0)),"")</f>
        <v/>
      </c>
      <c r="AO7" s="85" t="n">
        <v>46189</v>
      </c>
    </row>
    <row r="8" ht="15" customHeight="1" s="38">
      <c r="A8" s="37">
        <f>IF(AND(ISNUMBER(B8),B8&gt;0,ISNUMBER(AB8),AB8&gt;0,J8&gt;=Data_Summary!$C$1),1,0)</f>
        <v/>
      </c>
      <c r="B8" s="79" t="n">
        <v>600</v>
      </c>
      <c r="C8" s="37">
        <f>IF(ISNUMBER(AB8),AB8,"")</f>
        <v/>
      </c>
      <c r="D8" s="37">
        <f>IF(ISNUMBER(C8),C8-U8*Data_Summary!$C$2,"")</f>
        <v/>
      </c>
      <c r="E8" s="79">
        <f>IFERROR(C8/B8,"")</f>
        <v/>
      </c>
      <c r="F8" s="37">
        <f>IFERROR(D8/B8,"")</f>
        <v/>
      </c>
      <c r="G8" s="37">
        <f>Q8</f>
        <v/>
      </c>
      <c r="H8" s="37">
        <f>IFERROR(LEFT(G8,1),"")</f>
        <v/>
      </c>
      <c r="I8" s="37">
        <f>IF(LEN(G8)&gt;1,1,0)</f>
        <v/>
      </c>
      <c r="J8" s="80" t="n">
        <v>46182</v>
      </c>
      <c r="K8" s="37" t="inlineStr">
        <is>
          <t>Concord Canada House</t>
        </is>
      </c>
      <c r="L8" s="37" t="inlineStr">
        <is>
          <t>23 Spadina Ave</t>
        </is>
      </c>
      <c r="M8" s="37" t="inlineStr">
        <is>
          <t>Toronto (CityPlace)</t>
        </is>
      </c>
      <c r="N8" s="37" t="n">
        <v>2025</v>
      </c>
      <c r="O8" s="37" t="inlineStr">
        <is>
          <t>2608</t>
        </is>
      </c>
      <c r="P8" s="37" t="inlineStr">
        <is>
          <t>2608 - 23 Spadina Ave</t>
        </is>
      </c>
      <c r="Q8" s="37" t="inlineStr">
        <is>
          <t>1+1</t>
        </is>
      </c>
      <c r="R8" s="37" t="n">
        <v>1</v>
      </c>
      <c r="S8" s="37" t="n">
        <v>600</v>
      </c>
      <c r="U8" s="37" t="n">
        <v>0</v>
      </c>
      <c r="V8" s="37" t="inlineStr">
        <is>
          <t>No</t>
        </is>
      </c>
      <c r="Z8" s="37" t="inlineStr">
        <is>
          <t>Built 2025</t>
        </is>
      </c>
      <c r="AB8" s="59" t="n">
        <v>2800</v>
      </c>
      <c r="AC8" s="59" t="n">
        <v>2850</v>
      </c>
      <c r="AD8" s="37">
        <f>IFERROR(AB8/B8,"")</f>
        <v/>
      </c>
      <c r="AE8" s="37">
        <f>IFERROR(AC8/B8,"")</f>
        <v/>
      </c>
      <c r="AI8" s="37" t="inlineStr">
        <is>
          <t>2026-06-09</t>
        </is>
      </c>
      <c r="AJ8" s="37" t="inlineStr">
        <is>
          <t>C12874476</t>
        </is>
      </c>
      <c r="AK8" s="37" t="inlineStr">
        <is>
          <t>https://condos.ca/toronto/concord-canada-house-23-spadina-ave-1-3-concord-cityplace-way/unit-2608-C12874476</t>
        </is>
      </c>
      <c r="AL8" s="37" t="inlineStr">
        <is>
          <t>Leased comp. Interior SF verified (condos.ca per-unit registered area), the 2026-06-16 pull (re-confirm on live page next run).</t>
        </is>
      </c>
      <c r="AM8" s="37" t="inlineStr">
        <is>
          <t>Condo</t>
        </is>
      </c>
      <c r="AN8" s="37">
        <f>IFERROR(E8*(1+IF(AM8="Apartment",Data_Summary!$C$3,0)),"")</f>
        <v/>
      </c>
      <c r="AO8" s="85" t="n">
        <v>46189</v>
      </c>
    </row>
    <row r="9" ht="15" customHeight="1" s="38">
      <c r="A9" s="37">
        <f>IF(AND(ISNUMBER(B9),B9&gt;0,ISNUMBER(AB9),AB9&gt;0,J9&gt;=Data_Summary!$C$1),1,0)</f>
        <v/>
      </c>
      <c r="B9" s="79" t="n">
        <v>578</v>
      </c>
      <c r="C9" s="37">
        <f>IF(ISNUMBER(AB9),AB9,"")</f>
        <v/>
      </c>
      <c r="D9" s="37">
        <f>IF(ISNUMBER(C9),C9-U9*Data_Summary!$C$2,"")</f>
        <v/>
      </c>
      <c r="E9" s="79">
        <f>IFERROR(C9/B9,"")</f>
        <v/>
      </c>
      <c r="F9" s="37">
        <f>IFERROR(D9/B9,"")</f>
        <v/>
      </c>
      <c r="G9" s="37">
        <f>Q9</f>
        <v/>
      </c>
      <c r="H9" s="37">
        <f>IFERROR(LEFT(G9,1),"")</f>
        <v/>
      </c>
      <c r="I9" s="37">
        <f>IF(LEN(G9)&gt;1,1,0)</f>
        <v/>
      </c>
      <c r="J9" s="80" t="n">
        <v>46178</v>
      </c>
      <c r="K9" s="37" t="inlineStr">
        <is>
          <t>Concord Canada House</t>
        </is>
      </c>
      <c r="L9" s="37" t="inlineStr">
        <is>
          <t>23 Spadina Ave</t>
        </is>
      </c>
      <c r="M9" s="37" t="inlineStr">
        <is>
          <t>Toronto (CityPlace)</t>
        </is>
      </c>
      <c r="N9" s="37" t="n">
        <v>2025</v>
      </c>
      <c r="O9" s="37" t="inlineStr">
        <is>
          <t>1907</t>
        </is>
      </c>
      <c r="P9" s="37" t="inlineStr">
        <is>
          <t>1907 - 23 Spadina Ave</t>
        </is>
      </c>
      <c r="Q9" s="37" t="inlineStr">
        <is>
          <t>1</t>
        </is>
      </c>
      <c r="R9" s="37" t="n">
        <v>1</v>
      </c>
      <c r="S9" s="37" t="n">
        <v>578</v>
      </c>
      <c r="U9" s="37" t="n">
        <v>0</v>
      </c>
      <c r="V9" s="37" t="inlineStr">
        <is>
          <t>No</t>
        </is>
      </c>
      <c r="Z9" s="37" t="inlineStr">
        <is>
          <t>Built 2025</t>
        </is>
      </c>
      <c r="AB9" s="59" t="n">
        <v>2500</v>
      </c>
      <c r="AC9" s="59" t="n">
        <v>2500</v>
      </c>
      <c r="AD9" s="37">
        <f>IFERROR(AB9/B9,"")</f>
        <v/>
      </c>
      <c r="AE9" s="37">
        <f>IFERROR(AC9/B9,"")</f>
        <v/>
      </c>
      <c r="AI9" s="37" t="inlineStr">
        <is>
          <t>2026-06-05</t>
        </is>
      </c>
      <c r="AJ9" s="37" t="inlineStr">
        <is>
          <t>C13219416</t>
        </is>
      </c>
      <c r="AK9" s="37" t="inlineStr">
        <is>
          <t>https://condos.ca/toronto/concord-canada-house-23-spadina-ave-1-3-concord-cityplace-way/unit-1907-C13219416</t>
        </is>
      </c>
      <c r="AL9" s="37" t="inlineStr">
        <is>
          <t>Leased comp. Interior SF verified (condos.ca per-unit registered area), the 2026-06-16 pull (re-confirm on live page next run).</t>
        </is>
      </c>
      <c r="AM9" s="37" t="inlineStr">
        <is>
          <t>Condo</t>
        </is>
      </c>
      <c r="AN9" s="37">
        <f>IFERROR(E9*(1+IF(AM9="Apartment",Data_Summary!$C$3,0)),"")</f>
        <v/>
      </c>
      <c r="AO9" s="85" t="n">
        <v>46189</v>
      </c>
    </row>
    <row r="10" ht="15" customHeight="1" s="38">
      <c r="A10" s="37">
        <f>IF(AND(ISNUMBER(B10),B10&gt;0,ISNUMBER(AB10),AB10&gt;0,J10&gt;=Data_Summary!$C$1),1,0)</f>
        <v/>
      </c>
      <c r="B10" s="79" t="n">
        <v>505</v>
      </c>
      <c r="C10" s="37">
        <f>IF(ISNUMBER(AB10),AB10,"")</f>
        <v/>
      </c>
      <c r="D10" s="37">
        <f>IF(ISNUMBER(C10),C10-U10*Data_Summary!$C$2,"")</f>
        <v/>
      </c>
      <c r="E10" s="79">
        <f>IFERROR(C10/B10,"")</f>
        <v/>
      </c>
      <c r="F10" s="37">
        <f>IFERROR(D10/B10,"")</f>
        <v/>
      </c>
      <c r="G10" s="37">
        <f>Q10</f>
        <v/>
      </c>
      <c r="H10" s="37">
        <f>IFERROR(LEFT(G10,1),"")</f>
        <v/>
      </c>
      <c r="I10" s="37">
        <f>IF(LEN(G10)&gt;1,1,0)</f>
        <v/>
      </c>
      <c r="J10" s="80" t="n">
        <v>46177</v>
      </c>
      <c r="K10" s="37" t="inlineStr">
        <is>
          <t>Concord Canada House</t>
        </is>
      </c>
      <c r="L10" s="37" t="inlineStr">
        <is>
          <t>23 Spadina Ave</t>
        </is>
      </c>
      <c r="M10" s="37" t="inlineStr">
        <is>
          <t>Toronto (CityPlace)</t>
        </is>
      </c>
      <c r="N10" s="37" t="n">
        <v>2025</v>
      </c>
      <c r="O10" s="37" t="inlineStr">
        <is>
          <t>2212</t>
        </is>
      </c>
      <c r="P10" s="37" t="inlineStr">
        <is>
          <t>2212 - 23 Spadina Ave</t>
        </is>
      </c>
      <c r="Q10" s="37" t="inlineStr">
        <is>
          <t>1</t>
        </is>
      </c>
      <c r="R10" s="37" t="n">
        <v>1</v>
      </c>
      <c r="S10" s="37" t="n">
        <v>505</v>
      </c>
      <c r="U10" s="37" t="n">
        <v>0</v>
      </c>
      <c r="V10" s="37" t="inlineStr">
        <is>
          <t>No</t>
        </is>
      </c>
      <c r="Z10" s="37" t="inlineStr">
        <is>
          <t>Built 2025</t>
        </is>
      </c>
      <c r="AB10" s="59" t="n">
        <v>2300</v>
      </c>
      <c r="AC10" s="59" t="n">
        <v>2300</v>
      </c>
      <c r="AD10" s="37">
        <f>IFERROR(AB10/B10,"")</f>
        <v/>
      </c>
      <c r="AE10" s="37">
        <f>IFERROR(AC10/B10,"")</f>
        <v/>
      </c>
      <c r="AI10" s="37" t="inlineStr">
        <is>
          <t>2026-06-04</t>
        </is>
      </c>
      <c r="AJ10" s="37" t="inlineStr">
        <is>
          <t>C13231928</t>
        </is>
      </c>
      <c r="AK10" s="37" t="inlineStr">
        <is>
          <t>https://condos.ca/toronto/concord-canada-house-23-spadina-ave-1-3-concord-cityplace-way/unit-2212-C13231928</t>
        </is>
      </c>
      <c r="AL10" s="37" t="inlineStr">
        <is>
          <t>Leased comp. Interior SF verified (condos.ca per-unit registered area), the 2026-06-16 pull (re-confirm on live page next run).</t>
        </is>
      </c>
      <c r="AM10" s="37" t="inlineStr">
        <is>
          <t>Condo</t>
        </is>
      </c>
      <c r="AN10" s="37">
        <f>IFERROR(E10*(1+IF(AM10="Apartment",Data_Summary!$C$3,0)),"")</f>
        <v/>
      </c>
      <c r="AO10" s="85" t="n">
        <v>46189</v>
      </c>
    </row>
    <row r="11" ht="15" customHeight="1" s="38">
      <c r="A11" s="37">
        <f>IF(AND(ISNUMBER(B11),B11&gt;0,ISNUMBER(AB11),AB11&gt;0,J11&gt;=Data_Summary!$C$1),1,0)</f>
        <v/>
      </c>
      <c r="B11" s="79" t="n">
        <v>485</v>
      </c>
      <c r="C11" s="37">
        <f>IF(ISNUMBER(AB11),AB11,"")</f>
        <v/>
      </c>
      <c r="D11" s="37">
        <f>IF(ISNUMBER(C11),C11-U11*Data_Summary!$C$2,"")</f>
        <v/>
      </c>
      <c r="E11" s="79">
        <f>IFERROR(C11/B11,"")</f>
        <v/>
      </c>
      <c r="F11" s="37">
        <f>IFERROR(D11/B11,"")</f>
        <v/>
      </c>
      <c r="G11" s="37">
        <f>Q11</f>
        <v/>
      </c>
      <c r="H11" s="37">
        <f>IFERROR(LEFT(G11,1),"")</f>
        <v/>
      </c>
      <c r="I11" s="37">
        <f>IF(LEN(G11)&gt;1,1,0)</f>
        <v/>
      </c>
      <c r="J11" s="80" t="n">
        <v>46178</v>
      </c>
      <c r="K11" s="37" t="inlineStr">
        <is>
          <t>Concord Canada House</t>
        </is>
      </c>
      <c r="L11" s="37" t="inlineStr">
        <is>
          <t>23 Spadina Ave</t>
        </is>
      </c>
      <c r="M11" s="37" t="inlineStr">
        <is>
          <t>Toronto (CityPlace)</t>
        </is>
      </c>
      <c r="N11" s="37" t="n">
        <v>2025</v>
      </c>
      <c r="O11" s="37" t="inlineStr">
        <is>
          <t>1715</t>
        </is>
      </c>
      <c r="P11" s="37" t="inlineStr">
        <is>
          <t>1715 - 23 Spadina Ave</t>
        </is>
      </c>
      <c r="Q11" s="37" t="inlineStr">
        <is>
          <t>1</t>
        </is>
      </c>
      <c r="R11" s="37" t="n">
        <v>1</v>
      </c>
      <c r="S11" s="37" t="n">
        <v>485</v>
      </c>
      <c r="U11" s="37" t="n">
        <v>0</v>
      </c>
      <c r="V11" s="37" t="inlineStr">
        <is>
          <t>No</t>
        </is>
      </c>
      <c r="Z11" s="37" t="inlineStr">
        <is>
          <t>Built 2025</t>
        </is>
      </c>
      <c r="AB11" s="59" t="n">
        <v>2300</v>
      </c>
      <c r="AC11" s="59" t="n">
        <v>2250</v>
      </c>
      <c r="AD11" s="37">
        <f>IFERROR(AB11/B11,"")</f>
        <v/>
      </c>
      <c r="AE11" s="37">
        <f>IFERROR(AC11/B11,"")</f>
        <v/>
      </c>
      <c r="AI11" s="37" t="inlineStr">
        <is>
          <t>2026-06-05</t>
        </is>
      </c>
      <c r="AJ11" s="37" t="inlineStr">
        <is>
          <t>C13186274</t>
        </is>
      </c>
      <c r="AK11" s="37" t="inlineStr">
        <is>
          <t>https://condos.ca/toronto/concord-canada-house-23-spadina-ave-1-3-concord-cityplace-way/unit-1715-C13186274</t>
        </is>
      </c>
      <c r="AL11" s="37" t="inlineStr">
        <is>
          <t>Leased comp. Interior SF verified (condos.ca per-unit registered area), the 2026-06-16 pull (re-confirm on live page next run).</t>
        </is>
      </c>
      <c r="AM11" s="37" t="inlineStr">
        <is>
          <t>Condo</t>
        </is>
      </c>
      <c r="AN11" s="37">
        <f>IFERROR(E11*(1+IF(AM11="Apartment",Data_Summary!$C$3,0)),"")</f>
        <v/>
      </c>
      <c r="AO11" s="85" t="n">
        <v>46189</v>
      </c>
    </row>
    <row r="12" ht="15" customHeight="1" s="38">
      <c r="A12" s="37">
        <f>IF(AND(ISNUMBER(B12),B12&gt;0,ISNUMBER(AB12),AB12&gt;0,J12&gt;=Data_Summary!$C$1),1,0)</f>
        <v/>
      </c>
      <c r="B12" s="79" t="n">
        <v>649</v>
      </c>
      <c r="C12" s="37">
        <f>IF(ISNUMBER(AB12),AB12,"")</f>
        <v/>
      </c>
      <c r="D12" s="37">
        <f>IF(ISNUMBER(C12),C12-U12*Data_Summary!$C$2,"")</f>
        <v/>
      </c>
      <c r="E12" s="79">
        <f>IFERROR(C12/B12,"")</f>
        <v/>
      </c>
      <c r="F12" s="37">
        <f>IFERROR(D12/B12,"")</f>
        <v/>
      </c>
      <c r="G12" s="37">
        <f>Q12</f>
        <v/>
      </c>
      <c r="H12" s="37">
        <f>IFERROR(LEFT(G12,1),"")</f>
        <v/>
      </c>
      <c r="I12" s="37">
        <f>IF(LEN(G12)&gt;1,1,0)</f>
        <v/>
      </c>
      <c r="J12" s="80" t="n">
        <v>46186</v>
      </c>
      <c r="K12" s="37" t="inlineStr">
        <is>
          <t>Nobu Residences</t>
        </is>
      </c>
      <c r="L12" s="37" t="inlineStr">
        <is>
          <t>15 Mercer St</t>
        </is>
      </c>
      <c r="M12" s="37" t="inlineStr">
        <is>
          <t>Toronto (King West)</t>
        </is>
      </c>
      <c r="N12" s="37" t="n">
        <v>2024</v>
      </c>
      <c r="O12" s="37" t="inlineStr">
        <is>
          <t>818</t>
        </is>
      </c>
      <c r="P12" s="37" t="inlineStr">
        <is>
          <t>818 - 15 Mercer St</t>
        </is>
      </c>
      <c r="Q12" s="37" t="inlineStr">
        <is>
          <t>2</t>
        </is>
      </c>
      <c r="R12" s="37" t="n">
        <v>2</v>
      </c>
      <c r="S12" s="37" t="n">
        <v>649</v>
      </c>
      <c r="U12" s="37" t="n">
        <v>0</v>
      </c>
      <c r="V12" s="37" t="inlineStr">
        <is>
          <t>No</t>
        </is>
      </c>
      <c r="Z12" s="37" t="inlineStr">
        <is>
          <t>Built 2024</t>
        </is>
      </c>
      <c r="AB12" s="59" t="n">
        <v>2950</v>
      </c>
      <c r="AC12" s="59" t="n">
        <v>2950</v>
      </c>
      <c r="AD12" s="37">
        <f>IFERROR(AB12/B12,"")</f>
        <v/>
      </c>
      <c r="AE12" s="37">
        <f>IFERROR(AC12/B12,"")</f>
        <v/>
      </c>
      <c r="AI12" s="37" t="inlineStr">
        <is>
          <t>2026-06-13</t>
        </is>
      </c>
      <c r="AJ12" s="37" t="inlineStr">
        <is>
          <t>C13117738</t>
        </is>
      </c>
      <c r="AK12" s="37" t="inlineStr">
        <is>
          <t>https://condos.ca/toronto/nobu-residences-15-mercer-st-35-mercer-st/unit-818-C13117738</t>
        </is>
      </c>
      <c r="AL12" s="37" t="inlineStr">
        <is>
          <t>Leased comp. Interior SF verified (condos.ca per-unit registered area), the 2026-06-16 pull (re-confirm on live page next run).</t>
        </is>
      </c>
      <c r="AM12" s="37" t="inlineStr">
        <is>
          <t>Condo</t>
        </is>
      </c>
      <c r="AN12" s="37">
        <f>IFERROR(E12*(1+IF(AM12="Apartment",Data_Summary!$C$3,0)),"")</f>
        <v/>
      </c>
      <c r="AO12" s="85" t="n">
        <v>46189</v>
      </c>
    </row>
    <row r="13" ht="15" customHeight="1" s="38">
      <c r="A13" s="37">
        <f>IF(AND(ISNUMBER(B13),B13&gt;0,ISNUMBER(AB13),AB13&gt;0,J13&gt;=Data_Summary!$C$1),1,0)</f>
        <v/>
      </c>
      <c r="B13" s="79" t="n">
        <v>799</v>
      </c>
      <c r="C13" s="37">
        <f>IF(ISNUMBER(AB13),AB13,"")</f>
        <v/>
      </c>
      <c r="D13" s="37">
        <f>IF(ISNUMBER(C13),C13-U13*Data_Summary!$C$2,"")</f>
        <v/>
      </c>
      <c r="E13" s="79">
        <f>IFERROR(C13/B13,"")</f>
        <v/>
      </c>
      <c r="F13" s="37">
        <f>IFERROR(D13/B13,"")</f>
        <v/>
      </c>
      <c r="G13" s="37">
        <f>Q13</f>
        <v/>
      </c>
      <c r="H13" s="37">
        <f>IFERROR(LEFT(G13,1),"")</f>
        <v/>
      </c>
      <c r="I13" s="37">
        <f>IF(LEN(G13)&gt;1,1,0)</f>
        <v/>
      </c>
      <c r="J13" s="80" t="n">
        <v>46181</v>
      </c>
      <c r="K13" s="37" t="inlineStr">
        <is>
          <t>Nobu Residences</t>
        </is>
      </c>
      <c r="L13" s="37" t="inlineStr">
        <is>
          <t>15 Mercer St</t>
        </is>
      </c>
      <c r="M13" s="37" t="inlineStr">
        <is>
          <t>Toronto (King West)</t>
        </is>
      </c>
      <c r="N13" s="37" t="n">
        <v>2024</v>
      </c>
      <c r="O13" s="37" t="inlineStr">
        <is>
          <t>3910</t>
        </is>
      </c>
      <c r="P13" s="37" t="inlineStr">
        <is>
          <t>3910 - 15 Mercer St</t>
        </is>
      </c>
      <c r="Q13" s="37" t="inlineStr">
        <is>
          <t>2</t>
        </is>
      </c>
      <c r="R13" s="37" t="n">
        <v>2</v>
      </c>
      <c r="S13" s="37" t="n">
        <v>799</v>
      </c>
      <c r="U13" s="37" t="n">
        <v>0</v>
      </c>
      <c r="V13" s="37" t="inlineStr">
        <is>
          <t>No</t>
        </is>
      </c>
      <c r="Z13" s="37" t="inlineStr">
        <is>
          <t>Built 2024</t>
        </is>
      </c>
      <c r="AB13" s="59" t="n">
        <v>3395</v>
      </c>
      <c r="AC13" s="59" t="n">
        <v>3395</v>
      </c>
      <c r="AD13" s="37">
        <f>IFERROR(AB13/B13,"")</f>
        <v/>
      </c>
      <c r="AE13" s="37">
        <f>IFERROR(AC13/B13,"")</f>
        <v/>
      </c>
      <c r="AI13" s="37" t="inlineStr">
        <is>
          <t>2026-06-08</t>
        </is>
      </c>
      <c r="AJ13" s="37" t="inlineStr">
        <is>
          <t>C13222970</t>
        </is>
      </c>
      <c r="AK13" s="37" t="inlineStr">
        <is>
          <t>https://condos.ca/toronto/nobu-residences-15-mercer-st-35-mercer-st/unit-3910-C13222970</t>
        </is>
      </c>
      <c r="AL13" s="37" t="inlineStr">
        <is>
          <t>Leased comp. Interior SF verified (condos.ca per-unit registered area), the 2026-06-16 pull (re-confirm on live page next run).</t>
        </is>
      </c>
      <c r="AM13" s="37" t="inlineStr">
        <is>
          <t>Condo</t>
        </is>
      </c>
      <c r="AN13" s="37">
        <f>IFERROR(E13*(1+IF(AM13="Apartment",Data_Summary!$C$3,0)),"")</f>
        <v/>
      </c>
      <c r="AO13" s="85" t="n">
        <v>46189</v>
      </c>
    </row>
    <row r="14" ht="15" customHeight="1" s="38">
      <c r="A14" s="37">
        <f>IF(AND(ISNUMBER(B14),B14&gt;0,ISNUMBER(AB14),AB14&gt;0,J14&gt;=Data_Summary!$C$1),1,0)</f>
        <v/>
      </c>
      <c r="B14" s="79" t="n">
        <v>667</v>
      </c>
      <c r="C14" s="37">
        <f>IF(ISNUMBER(AB14),AB14,"")</f>
        <v/>
      </c>
      <c r="D14" s="37">
        <f>IF(ISNUMBER(C14),C14-U14*Data_Summary!$C$2,"")</f>
        <v/>
      </c>
      <c r="E14" s="79">
        <f>IFERROR(C14/B14,"")</f>
        <v/>
      </c>
      <c r="F14" s="37">
        <f>IFERROR(D14/B14,"")</f>
        <v/>
      </c>
      <c r="G14" s="37">
        <f>Q14</f>
        <v/>
      </c>
      <c r="H14" s="37">
        <f>IFERROR(LEFT(G14,1),"")</f>
        <v/>
      </c>
      <c r="I14" s="37">
        <f>IF(LEN(G14)&gt;1,1,0)</f>
        <v/>
      </c>
      <c r="J14" s="80" t="n">
        <v>46172</v>
      </c>
      <c r="K14" s="37" t="inlineStr">
        <is>
          <t>Nobu Residences</t>
        </is>
      </c>
      <c r="L14" s="37" t="inlineStr">
        <is>
          <t>15 Mercer St</t>
        </is>
      </c>
      <c r="M14" s="37" t="inlineStr">
        <is>
          <t>Toronto (King West)</t>
        </is>
      </c>
      <c r="N14" s="37" t="n">
        <v>2024</v>
      </c>
      <c r="O14" s="37" t="inlineStr">
        <is>
          <t>2316</t>
        </is>
      </c>
      <c r="P14" s="37" t="inlineStr">
        <is>
          <t>2316 - 15 Mercer St</t>
        </is>
      </c>
      <c r="Q14" s="37" t="inlineStr">
        <is>
          <t>2</t>
        </is>
      </c>
      <c r="R14" s="37" t="n">
        <v>2</v>
      </c>
      <c r="S14" s="37" t="n">
        <v>667</v>
      </c>
      <c r="U14" s="37" t="n">
        <v>0</v>
      </c>
      <c r="V14" s="37" t="inlineStr">
        <is>
          <t>No</t>
        </is>
      </c>
      <c r="Z14" s="37" t="inlineStr">
        <is>
          <t>Built 2024</t>
        </is>
      </c>
      <c r="AB14" s="59" t="n">
        <v>3000</v>
      </c>
      <c r="AC14" s="59" t="n">
        <v>3000</v>
      </c>
      <c r="AD14" s="37">
        <f>IFERROR(AB14/B14,"")</f>
        <v/>
      </c>
      <c r="AE14" s="37">
        <f>IFERROR(AC14/B14,"")</f>
        <v/>
      </c>
      <c r="AI14" s="37" t="inlineStr">
        <is>
          <t>2026-05-30</t>
        </is>
      </c>
      <c r="AJ14" s="37" t="inlineStr">
        <is>
          <t>C13209116</t>
        </is>
      </c>
      <c r="AK14" s="37" t="inlineStr">
        <is>
          <t>https://condos.ca/toronto/nobu-residences-15-mercer-st-35-mercer-st/unit-2316-C13209116</t>
        </is>
      </c>
      <c r="AL14" s="37" t="inlineStr">
        <is>
          <t>Leased comp. Interior SF verified (condos.ca per-unit registered area), the 2026-06-16 pull (re-confirm on live page next run).</t>
        </is>
      </c>
      <c r="AM14" s="37" t="inlineStr">
        <is>
          <t>Condo</t>
        </is>
      </c>
      <c r="AN14" s="37">
        <f>IFERROR(E14*(1+IF(AM14="Apartment",Data_Summary!$C$3,0)),"")</f>
        <v/>
      </c>
      <c r="AO14" s="85" t="n">
        <v>46189</v>
      </c>
    </row>
    <row r="15" ht="15" customHeight="1" s="38">
      <c r="A15" s="37">
        <f>IF(AND(ISNUMBER(B15),B15&gt;0,ISNUMBER(AB15),AB15&gt;0,J15&gt;=Data_Summary!$C$1),1,0)</f>
        <v/>
      </c>
      <c r="B15" s="79" t="n">
        <v>799</v>
      </c>
      <c r="C15" s="37">
        <f>IF(ISNUMBER(AB15),AB15,"")</f>
        <v/>
      </c>
      <c r="D15" s="37">
        <f>IF(ISNUMBER(C15),C15-U15*Data_Summary!$C$2,"")</f>
        <v/>
      </c>
      <c r="E15" s="79">
        <f>IFERROR(C15/B15,"")</f>
        <v/>
      </c>
      <c r="F15" s="37">
        <f>IFERROR(D15/B15,"")</f>
        <v/>
      </c>
      <c r="G15" s="37">
        <f>Q15</f>
        <v/>
      </c>
      <c r="H15" s="37">
        <f>IFERROR(LEFT(G15,1),"")</f>
        <v/>
      </c>
      <c r="I15" s="37">
        <f>IF(LEN(G15)&gt;1,1,0)</f>
        <v/>
      </c>
      <c r="J15" s="80" t="n">
        <v>46178</v>
      </c>
      <c r="K15" s="37" t="inlineStr">
        <is>
          <t>Nobu Residences</t>
        </is>
      </c>
      <c r="L15" s="37" t="inlineStr">
        <is>
          <t>15 Mercer St</t>
        </is>
      </c>
      <c r="M15" s="37" t="inlineStr">
        <is>
          <t>Toronto (King West)</t>
        </is>
      </c>
      <c r="N15" s="37" t="n">
        <v>2024</v>
      </c>
      <c r="O15" s="37" t="inlineStr">
        <is>
          <t>1706</t>
        </is>
      </c>
      <c r="P15" s="37" t="inlineStr">
        <is>
          <t>1706 - 15 Mercer St</t>
        </is>
      </c>
      <c r="Q15" s="37" t="inlineStr">
        <is>
          <t>2+1</t>
        </is>
      </c>
      <c r="R15" s="37" t="n">
        <v>2</v>
      </c>
      <c r="S15" s="37" t="n">
        <v>799</v>
      </c>
      <c r="U15" s="37" t="n">
        <v>0</v>
      </c>
      <c r="V15" s="37" t="inlineStr">
        <is>
          <t>No</t>
        </is>
      </c>
      <c r="Z15" s="37" t="inlineStr">
        <is>
          <t>Built 2024</t>
        </is>
      </c>
      <c r="AB15" s="59" t="n">
        <v>3300</v>
      </c>
      <c r="AC15" s="59" t="n">
        <v>3550</v>
      </c>
      <c r="AD15" s="37">
        <f>IFERROR(AB15/B15,"")</f>
        <v/>
      </c>
      <c r="AE15" s="37">
        <f>IFERROR(AC15/B15,"")</f>
        <v/>
      </c>
      <c r="AI15" s="37" t="inlineStr">
        <is>
          <t>2026-06-05</t>
        </is>
      </c>
      <c r="AJ15" s="37" t="inlineStr">
        <is>
          <t>C13106892</t>
        </is>
      </c>
      <c r="AK15" s="37" t="inlineStr">
        <is>
          <t>https://condos.ca/toronto/nobu-residences-15-mercer-st-35-mercer-st/unit-1706-C13106892</t>
        </is>
      </c>
      <c r="AL15" s="37" t="inlineStr">
        <is>
          <t>Leased comp. Interior SF verified (condos.ca per-unit registered area), the 2026-06-16 pull (re-confirm on live page next run).</t>
        </is>
      </c>
      <c r="AM15" s="37" t="inlineStr">
        <is>
          <t>Condo</t>
        </is>
      </c>
      <c r="AN15" s="37">
        <f>IFERROR(E15*(1+IF(AM15="Apartment",Data_Summary!$C$3,0)),"")</f>
        <v/>
      </c>
      <c r="AO15" s="85" t="n">
        <v>46189</v>
      </c>
    </row>
    <row r="16" ht="15" customHeight="1" s="38">
      <c r="A16" s="37">
        <f>IF(AND(ISNUMBER(B16),B16&gt;0,ISNUMBER(AB16),AB16&gt;0,J16&gt;=Data_Summary!$C$1),1,0)</f>
        <v/>
      </c>
      <c r="B16" s="79" t="n">
        <v>416</v>
      </c>
      <c r="C16" s="37">
        <f>IF(ISNUMBER(AB16),AB16,"")</f>
        <v/>
      </c>
      <c r="D16" s="37">
        <f>IF(ISNUMBER(C16),C16-U16*Data_Summary!$C$2,"")</f>
        <v/>
      </c>
      <c r="E16" s="79">
        <f>IFERROR(C16/B16,"")</f>
        <v/>
      </c>
      <c r="F16" s="37">
        <f>IFERROR(D16/B16,"")</f>
        <v/>
      </c>
      <c r="G16" s="37">
        <f>Q16</f>
        <v/>
      </c>
      <c r="H16" s="37">
        <f>IFERROR(LEFT(G16,1),"")</f>
        <v/>
      </c>
      <c r="I16" s="37">
        <f>IF(LEN(G16)&gt;1,1,0)</f>
        <v/>
      </c>
      <c r="J16" s="80" t="n">
        <v>46180</v>
      </c>
      <c r="K16" s="37" t="inlineStr">
        <is>
          <t>Nobu Residences</t>
        </is>
      </c>
      <c r="L16" s="37" t="inlineStr">
        <is>
          <t>15 Mercer St</t>
        </is>
      </c>
      <c r="M16" s="37" t="inlineStr">
        <is>
          <t>Toronto (King West)</t>
        </is>
      </c>
      <c r="N16" s="37" t="n">
        <v>2024</v>
      </c>
      <c r="O16" s="37" t="inlineStr">
        <is>
          <t>1103</t>
        </is>
      </c>
      <c r="P16" s="37" t="inlineStr">
        <is>
          <t>1103 - 15 Mercer St</t>
        </is>
      </c>
      <c r="Q16" s="37" t="inlineStr">
        <is>
          <t>1</t>
        </is>
      </c>
      <c r="R16" s="37" t="n">
        <v>1</v>
      </c>
      <c r="S16" s="37" t="n">
        <v>416</v>
      </c>
      <c r="U16" s="37" t="n">
        <v>0</v>
      </c>
      <c r="V16" s="37" t="inlineStr">
        <is>
          <t>No</t>
        </is>
      </c>
      <c r="Z16" s="37" t="inlineStr">
        <is>
          <t>Built 2024</t>
        </is>
      </c>
      <c r="AB16" s="59" t="n">
        <v>2150</v>
      </c>
      <c r="AC16" s="59" t="n">
        <v>2150</v>
      </c>
      <c r="AD16" s="37">
        <f>IFERROR(AB16/B16,"")</f>
        <v/>
      </c>
      <c r="AE16" s="37">
        <f>IFERROR(AC16/B16,"")</f>
        <v/>
      </c>
      <c r="AI16" s="37" t="inlineStr">
        <is>
          <t>2026-06-07</t>
        </is>
      </c>
      <c r="AJ16" s="37" t="inlineStr">
        <is>
          <t>C13049560</t>
        </is>
      </c>
      <c r="AK16" s="37" t="inlineStr">
        <is>
          <t>https://condos.ca/toronto/nobu-residences-15-mercer-st-35-mercer-st/unit-1103-C13049560</t>
        </is>
      </c>
      <c r="AL16" s="37" t="inlineStr">
        <is>
          <t>Leased comp. Interior SF verified (condos.ca per-unit registered area), the 2026-06-16 pull (re-confirm on live page next run).</t>
        </is>
      </c>
      <c r="AM16" s="37" t="inlineStr">
        <is>
          <t>Condo</t>
        </is>
      </c>
      <c r="AN16" s="37">
        <f>IFERROR(E16*(1+IF(AM16="Apartment",Data_Summary!$C$3,0)),"")</f>
        <v/>
      </c>
      <c r="AO16" s="85" t="n">
        <v>46189</v>
      </c>
    </row>
    <row r="17" ht="15" customHeight="1" s="38">
      <c r="A17" s="37">
        <f>IF(AND(ISNUMBER(B17),B17&gt;0,ISNUMBER(AB17),AB17&gt;0,J17&gt;=Data_Summary!$C$1),1,0)</f>
        <v/>
      </c>
      <c r="B17" s="79" t="n">
        <v>427</v>
      </c>
      <c r="C17" s="37">
        <f>IF(ISNUMBER(AB17),AB17,"")</f>
        <v/>
      </c>
      <c r="D17" s="37">
        <f>IF(ISNUMBER(C17),C17-U17*Data_Summary!$C$2,"")</f>
        <v/>
      </c>
      <c r="E17" s="79">
        <f>IFERROR(C17/B17,"")</f>
        <v/>
      </c>
      <c r="F17" s="37">
        <f>IFERROR(D17/B17,"")</f>
        <v/>
      </c>
      <c r="G17" s="37">
        <f>Q17</f>
        <v/>
      </c>
      <c r="H17" s="37">
        <f>IFERROR(LEFT(G17,1),"")</f>
        <v/>
      </c>
      <c r="I17" s="37">
        <f>IF(LEN(G17)&gt;1,1,0)</f>
        <v/>
      </c>
      <c r="J17" s="80" t="n">
        <v>46177</v>
      </c>
      <c r="K17" s="37" t="inlineStr">
        <is>
          <t>Nobu Residences</t>
        </is>
      </c>
      <c r="L17" s="37" t="inlineStr">
        <is>
          <t>15 Mercer St</t>
        </is>
      </c>
      <c r="M17" s="37" t="inlineStr">
        <is>
          <t>Toronto (King West)</t>
        </is>
      </c>
      <c r="N17" s="37" t="n">
        <v>2024</v>
      </c>
      <c r="O17" s="37" t="inlineStr">
        <is>
          <t>1603</t>
        </is>
      </c>
      <c r="P17" s="37" t="inlineStr">
        <is>
          <t>1603 - 15 Mercer St</t>
        </is>
      </c>
      <c r="Q17" s="37" t="inlineStr">
        <is>
          <t>1</t>
        </is>
      </c>
      <c r="R17" s="37" t="n">
        <v>1</v>
      </c>
      <c r="S17" s="37" t="n">
        <v>427</v>
      </c>
      <c r="U17" s="37" t="n">
        <v>0</v>
      </c>
      <c r="V17" s="37" t="inlineStr">
        <is>
          <t>No</t>
        </is>
      </c>
      <c r="Z17" s="37" t="inlineStr">
        <is>
          <t>Built 2024</t>
        </is>
      </c>
      <c r="AB17" s="59" t="n">
        <v>2200</v>
      </c>
      <c r="AC17" s="59" t="n">
        <v>2200</v>
      </c>
      <c r="AD17" s="37">
        <f>IFERROR(AB17/B17,"")</f>
        <v/>
      </c>
      <c r="AE17" s="37">
        <f>IFERROR(AC17/B17,"")</f>
        <v/>
      </c>
      <c r="AI17" s="37" t="inlineStr">
        <is>
          <t>2026-06-04</t>
        </is>
      </c>
      <c r="AJ17" s="37" t="inlineStr">
        <is>
          <t>C13110904</t>
        </is>
      </c>
      <c r="AK17" s="37" t="inlineStr">
        <is>
          <t>https://condos.ca/toronto/nobu-residences-15-mercer-st-35-mercer-st/unit-1603-C13110904</t>
        </is>
      </c>
      <c r="AL17" s="37" t="inlineStr">
        <is>
          <t>Leased comp. Interior SF verified (condos.ca per-unit registered area), the 2026-06-16 pull (re-confirm on live page next run).</t>
        </is>
      </c>
      <c r="AM17" s="37" t="inlineStr">
        <is>
          <t>Condo</t>
        </is>
      </c>
      <c r="AN17" s="37">
        <f>IFERROR(E17*(1+IF(AM17="Apartment",Data_Summary!$C$3,0)),"")</f>
        <v/>
      </c>
      <c r="AO17" s="85" t="n">
        <v>46189</v>
      </c>
    </row>
    <row r="18" ht="15" customHeight="1" s="38">
      <c r="A18" s="37">
        <f>IF(AND(ISNUMBER(B18),B18&gt;0,ISNUMBER(AB18),AB18&gt;0,J18&gt;=Data_Summary!$C$1),1,0)</f>
        <v/>
      </c>
      <c r="B18" s="79" t="n">
        <v>1069</v>
      </c>
      <c r="C18" s="37">
        <f>IF(ISNUMBER(AB18),AB18,"")</f>
        <v/>
      </c>
      <c r="D18" s="37">
        <f>IF(ISNUMBER(C18),C18-U18*Data_Summary!$C$2,"")</f>
        <v/>
      </c>
      <c r="E18" s="79">
        <f>IFERROR(C18/B18,"")</f>
        <v/>
      </c>
      <c r="F18" s="37">
        <f>IFERROR(D18/B18,"")</f>
        <v/>
      </c>
      <c r="G18" s="37">
        <f>Q18</f>
        <v/>
      </c>
      <c r="H18" s="37">
        <f>IFERROR(LEFT(G18,1),"")</f>
        <v/>
      </c>
      <c r="I18" s="37">
        <f>IF(LEN(G18)&gt;1,1,0)</f>
        <v/>
      </c>
      <c r="J18" s="80" t="n">
        <v>46185</v>
      </c>
      <c r="K18" s="37" t="inlineStr">
        <is>
          <t>The Well</t>
        </is>
      </c>
      <c r="L18" s="37" t="inlineStr">
        <is>
          <t>470-480 Front St W</t>
        </is>
      </c>
      <c r="M18" s="37" t="inlineStr">
        <is>
          <t>Toronto (King West)</t>
        </is>
      </c>
      <c r="N18" s="37" t="n">
        <v>2024</v>
      </c>
      <c r="O18" s="37" t="inlineStr">
        <is>
          <t>PH-14</t>
        </is>
      </c>
      <c r="P18" s="37" t="inlineStr">
        <is>
          <t>PH-14 - 470-480 Front St W</t>
        </is>
      </c>
      <c r="Q18" s="37" t="inlineStr">
        <is>
          <t>3</t>
        </is>
      </c>
      <c r="R18" s="37" t="n">
        <v>2</v>
      </c>
      <c r="S18" s="37" t="n">
        <v>1069</v>
      </c>
      <c r="U18" s="37" t="n">
        <v>1</v>
      </c>
      <c r="V18" s="37" t="inlineStr">
        <is>
          <t>Yes</t>
        </is>
      </c>
      <c r="Z18" s="37" t="inlineStr">
        <is>
          <t>Built 2024</t>
        </is>
      </c>
      <c r="AB18" s="59" t="n">
        <v>5500</v>
      </c>
      <c r="AC18" s="59" t="n">
        <v>5500</v>
      </c>
      <c r="AD18" s="37">
        <f>IFERROR(AB18/B18,"")</f>
        <v/>
      </c>
      <c r="AE18" s="37">
        <f>IFERROR(AC18/B18,"")</f>
        <v/>
      </c>
      <c r="AI18" s="37" t="inlineStr">
        <is>
          <t>2026-06-12</t>
        </is>
      </c>
      <c r="AJ18" s="37" t="inlineStr">
        <is>
          <t>C13099798</t>
        </is>
      </c>
      <c r="AK18" s="37" t="inlineStr">
        <is>
          <t>https://condos.ca/toronto/the-well-455-480-front-st-w-455-wellington-st-w/unit-PH-14-C13099798</t>
        </is>
      </c>
      <c r="AL18" s="37" t="inlineStr">
        <is>
          <t>Leased comp. Interior SF verified (condos.ca per-unit registered area), the 2026-06-16 pull (re-confirm on live page next run).</t>
        </is>
      </c>
      <c r="AM18" s="37" t="inlineStr">
        <is>
          <t>Condo</t>
        </is>
      </c>
      <c r="AN18" s="37">
        <f>IFERROR(E18*(1+IF(AM18="Apartment",Data_Summary!$C$3,0)),"")</f>
        <v/>
      </c>
      <c r="AO18" s="85" t="n">
        <v>46189</v>
      </c>
    </row>
    <row r="19" ht="15" customHeight="1" s="38">
      <c r="A19" s="37">
        <f>IF(AND(ISNUMBER(B19),B19&gt;0,ISNUMBER(AB19),AB19&gt;0,J19&gt;=Data_Summary!$C$1),1,0)</f>
        <v/>
      </c>
      <c r="B19" s="79" t="n">
        <v>652</v>
      </c>
      <c r="C19" s="37">
        <f>IF(ISNUMBER(AB19),AB19,"")</f>
        <v/>
      </c>
      <c r="D19" s="37">
        <f>IF(ISNUMBER(C19),C19-U19*Data_Summary!$C$2,"")</f>
        <v/>
      </c>
      <c r="E19" s="79">
        <f>IFERROR(C19/B19,"")</f>
        <v/>
      </c>
      <c r="F19" s="37">
        <f>IFERROR(D19/B19,"")</f>
        <v/>
      </c>
      <c r="G19" s="37">
        <f>Q19</f>
        <v/>
      </c>
      <c r="H19" s="37">
        <f>IFERROR(LEFT(G19,1),"")</f>
        <v/>
      </c>
      <c r="I19" s="37">
        <f>IF(LEN(G19)&gt;1,1,0)</f>
        <v/>
      </c>
      <c r="J19" s="80" t="n">
        <v>46165</v>
      </c>
      <c r="K19" s="37" t="inlineStr">
        <is>
          <t>The Well</t>
        </is>
      </c>
      <c r="L19" s="37" t="inlineStr">
        <is>
          <t>470-480 Front St W</t>
        </is>
      </c>
      <c r="M19" s="37" t="inlineStr">
        <is>
          <t>Toronto (King West)</t>
        </is>
      </c>
      <c r="N19" s="37" t="n">
        <v>2024</v>
      </c>
      <c r="O19" s="37" t="inlineStr">
        <is>
          <t>1909</t>
        </is>
      </c>
      <c r="P19" s="37" t="inlineStr">
        <is>
          <t>1909 - 470-480 Front St W</t>
        </is>
      </c>
      <c r="Q19" s="37" t="inlineStr">
        <is>
          <t>1+1</t>
        </is>
      </c>
      <c r="R19" s="37" t="n">
        <v>1</v>
      </c>
      <c r="S19" s="37" t="n">
        <v>652</v>
      </c>
      <c r="U19" s="37" t="n">
        <v>0</v>
      </c>
      <c r="V19" s="37" t="inlineStr">
        <is>
          <t>No</t>
        </is>
      </c>
      <c r="Z19" s="37" t="inlineStr">
        <is>
          <t>Built 2024</t>
        </is>
      </c>
      <c r="AB19" s="59" t="n">
        <v>2650</v>
      </c>
      <c r="AC19" s="59" t="n">
        <v>2750</v>
      </c>
      <c r="AD19" s="37">
        <f>IFERROR(AB19/B19,"")</f>
        <v/>
      </c>
      <c r="AE19" s="37">
        <f>IFERROR(AC19/B19,"")</f>
        <v/>
      </c>
      <c r="AI19" s="37" t="inlineStr">
        <is>
          <t>2026-05-23</t>
        </is>
      </c>
      <c r="AJ19" s="37" t="inlineStr">
        <is>
          <t>C13044578</t>
        </is>
      </c>
      <c r="AK19" s="37" t="inlineStr">
        <is>
          <t>https://condos.ca/toronto/the-well-455-480-front-st-w-455-wellington-st-w/unit-1909-C13044578</t>
        </is>
      </c>
      <c r="AL19" s="37" t="inlineStr">
        <is>
          <t>Leased comp. Interior SF verified (condos.ca per-unit registered area), the 2026-06-16 pull (re-confirm on live page next run).</t>
        </is>
      </c>
      <c r="AM19" s="37" t="inlineStr">
        <is>
          <t>Condo</t>
        </is>
      </c>
      <c r="AN19" s="37">
        <f>IFERROR(E19*(1+IF(AM19="Apartment",Data_Summary!$C$3,0)),"")</f>
        <v/>
      </c>
      <c r="AO19" s="85" t="n">
        <v>46189</v>
      </c>
    </row>
    <row r="20" ht="15" customHeight="1" s="38">
      <c r="A20" s="37">
        <f>IF(AND(ISNUMBER(B20),B20&gt;0,ISNUMBER(AB20),AB20&gt;0,J20&gt;=Data_Summary!$C$1),1,0)</f>
        <v/>
      </c>
      <c r="B20" s="79" t="n">
        <v>558</v>
      </c>
      <c r="C20" s="37">
        <f>IF(ISNUMBER(AB20),AB20,"")</f>
        <v/>
      </c>
      <c r="D20" s="37">
        <f>IF(ISNUMBER(C20),C20-U20*Data_Summary!$C$2,"")</f>
        <v/>
      </c>
      <c r="E20" s="79">
        <f>IFERROR(C20/B20,"")</f>
        <v/>
      </c>
      <c r="F20" s="37">
        <f>IFERROR(D20/B20,"")</f>
        <v/>
      </c>
      <c r="G20" s="37">
        <f>Q20</f>
        <v/>
      </c>
      <c r="H20" s="37">
        <f>IFERROR(LEFT(G20,1),"")</f>
        <v/>
      </c>
      <c r="I20" s="37">
        <f>IF(LEN(G20)&gt;1,1,0)</f>
        <v/>
      </c>
      <c r="J20" s="80" t="n">
        <v>46169</v>
      </c>
      <c r="K20" s="37" t="inlineStr">
        <is>
          <t>The Well</t>
        </is>
      </c>
      <c r="L20" s="37" t="inlineStr">
        <is>
          <t>470-480 Front St W</t>
        </is>
      </c>
      <c r="M20" s="37" t="inlineStr">
        <is>
          <t>Toronto (King West)</t>
        </is>
      </c>
      <c r="N20" s="37" t="n">
        <v>2024</v>
      </c>
      <c r="O20" s="37" t="inlineStr">
        <is>
          <t>1812</t>
        </is>
      </c>
      <c r="P20" s="37" t="inlineStr">
        <is>
          <t>1812 - 470-480 Front St W</t>
        </is>
      </c>
      <c r="Q20" s="37" t="inlineStr">
        <is>
          <t>1</t>
        </is>
      </c>
      <c r="R20" s="37" t="n">
        <v>1</v>
      </c>
      <c r="S20" s="37" t="n">
        <v>558</v>
      </c>
      <c r="U20" s="37" t="n">
        <v>0</v>
      </c>
      <c r="V20" s="37" t="inlineStr">
        <is>
          <t>No</t>
        </is>
      </c>
      <c r="Z20" s="37" t="inlineStr">
        <is>
          <t>Built 2024</t>
        </is>
      </c>
      <c r="AB20" s="59" t="n">
        <v>2500</v>
      </c>
      <c r="AC20" s="59" t="n">
        <v>2600</v>
      </c>
      <c r="AD20" s="37">
        <f>IFERROR(AB20/B20,"")</f>
        <v/>
      </c>
      <c r="AE20" s="37">
        <f>IFERROR(AC20/B20,"")</f>
        <v/>
      </c>
      <c r="AI20" s="37" t="inlineStr">
        <is>
          <t>2026-05-27</t>
        </is>
      </c>
      <c r="AJ20" s="37" t="inlineStr">
        <is>
          <t>C13088234</t>
        </is>
      </c>
      <c r="AK20" s="37" t="inlineStr">
        <is>
          <t>https://condos.ca/toronto/the-well-455-480-front-st-w-455-wellington-st-w/unit-1812-C13088234</t>
        </is>
      </c>
      <c r="AL20" s="37" t="inlineStr">
        <is>
          <t>Leased comp. Interior SF verified (condos.ca per-unit registered area), the 2026-06-16 pull (re-confirm on live page next run).</t>
        </is>
      </c>
      <c r="AM20" s="37" t="inlineStr">
        <is>
          <t>Condo</t>
        </is>
      </c>
      <c r="AN20" s="37">
        <f>IFERROR(E20*(1+IF(AM20="Apartment",Data_Summary!$C$3,0)),"")</f>
        <v/>
      </c>
      <c r="AO20" s="85" t="n">
        <v>46189</v>
      </c>
    </row>
    <row r="21" ht="15" customHeight="1" s="38">
      <c r="A21" s="37">
        <f>IF(AND(ISNUMBER(B21),B21&gt;0,ISNUMBER(AB21),AB21&gt;0,J21&gt;=Data_Summary!$C$1),1,0)</f>
        <v/>
      </c>
      <c r="B21" s="79" t="n">
        <v>830</v>
      </c>
      <c r="C21" s="37">
        <f>IF(ISNUMBER(AB21),AB21,"")</f>
        <v/>
      </c>
      <c r="D21" s="37">
        <f>IF(ISNUMBER(C21),C21-U21*Data_Summary!$C$2,"")</f>
        <v/>
      </c>
      <c r="E21" s="79">
        <f>IFERROR(C21/B21,"")</f>
        <v/>
      </c>
      <c r="F21" s="37">
        <f>IFERROR(D21/B21,"")</f>
        <v/>
      </c>
      <c r="G21" s="37">
        <f>Q21</f>
        <v/>
      </c>
      <c r="H21" s="37">
        <f>IFERROR(LEFT(G21,1),"")</f>
        <v/>
      </c>
      <c r="I21" s="37">
        <f>IF(LEN(G21)&gt;1,1,0)</f>
        <v/>
      </c>
      <c r="J21" s="80" t="n">
        <v>46181</v>
      </c>
      <c r="K21" s="37" t="inlineStr">
        <is>
          <t>Ten York</t>
        </is>
      </c>
      <c r="L21" s="37" t="inlineStr">
        <is>
          <t>10 York St</t>
        </is>
      </c>
      <c r="M21" s="37" t="inlineStr">
        <is>
          <t>Toronto (Waterfront)</t>
        </is>
      </c>
      <c r="N21" s="37" t="n">
        <v>2019</v>
      </c>
      <c r="O21" s="37" t="inlineStr">
        <is>
          <t>3905</t>
        </is>
      </c>
      <c r="P21" s="37" t="inlineStr">
        <is>
          <t>3905 - 10 York St</t>
        </is>
      </c>
      <c r="Q21" s="37" t="inlineStr">
        <is>
          <t>2</t>
        </is>
      </c>
      <c r="R21" s="37" t="n">
        <v>2</v>
      </c>
      <c r="S21" s="37" t="n">
        <v>830</v>
      </c>
      <c r="U21" s="37" t="n">
        <v>1</v>
      </c>
      <c r="V21" s="37" t="inlineStr">
        <is>
          <t>Yes</t>
        </is>
      </c>
      <c r="Z21" s="37" t="inlineStr">
        <is>
          <t>Built 2019</t>
        </is>
      </c>
      <c r="AB21" s="59" t="n">
        <v>3695</v>
      </c>
      <c r="AC21" s="59" t="n">
        <v>3695</v>
      </c>
      <c r="AD21" s="37">
        <f>IFERROR(AB21/B21,"")</f>
        <v/>
      </c>
      <c r="AE21" s="37">
        <f>IFERROR(AC21/B21,"")</f>
        <v/>
      </c>
      <c r="AI21" s="37" t="inlineStr">
        <is>
          <t>2026-06-08</t>
        </is>
      </c>
      <c r="AJ21" s="37" t="inlineStr">
        <is>
          <t>C13247834</t>
        </is>
      </c>
      <c r="AK21" s="37" t="inlineStr">
        <is>
          <t>https://condos.ca/toronto/ten-york-10-york-st/unit-3905-C13247834</t>
        </is>
      </c>
      <c r="AL21" s="37" t="inlineStr">
        <is>
          <t>Leased comp. Interior SF verified (condos.ca per-unit registered area), the 2026-06-16 pull (re-confirm on live page next run).</t>
        </is>
      </c>
      <c r="AM21" s="37" t="inlineStr">
        <is>
          <t>Condo</t>
        </is>
      </c>
      <c r="AN21" s="37">
        <f>IFERROR(E21*(1+IF(AM21="Apartment",Data_Summary!$C$3,0)),"")</f>
        <v/>
      </c>
      <c r="AO21" s="85" t="n">
        <v>46189</v>
      </c>
    </row>
    <row r="22" ht="15" customHeight="1" s="38">
      <c r="A22" s="37">
        <f>IF(AND(ISNUMBER(B22),B22&gt;0,ISNUMBER(AB22),AB22&gt;0,J22&gt;=Data_Summary!$C$1),1,0)</f>
        <v/>
      </c>
      <c r="B22" s="79" t="n">
        <v>830</v>
      </c>
      <c r="C22" s="37">
        <f>IF(ISNUMBER(AB22),AB22,"")</f>
        <v/>
      </c>
      <c r="D22" s="37">
        <f>IF(ISNUMBER(C22),C22-U22*Data_Summary!$C$2,"")</f>
        <v/>
      </c>
      <c r="E22" s="79">
        <f>IFERROR(C22/B22,"")</f>
        <v/>
      </c>
      <c r="F22" s="37">
        <f>IFERROR(D22/B22,"")</f>
        <v/>
      </c>
      <c r="G22" s="37">
        <f>Q22</f>
        <v/>
      </c>
      <c r="H22" s="37">
        <f>IFERROR(LEFT(G22,1),"")</f>
        <v/>
      </c>
      <c r="I22" s="37">
        <f>IF(LEN(G22)&gt;1,1,0)</f>
        <v/>
      </c>
      <c r="J22" s="80" t="n">
        <v>46180</v>
      </c>
      <c r="K22" s="37" t="inlineStr">
        <is>
          <t>Ten York</t>
        </is>
      </c>
      <c r="L22" s="37" t="inlineStr">
        <is>
          <t>10 York St</t>
        </is>
      </c>
      <c r="M22" s="37" t="inlineStr">
        <is>
          <t>Toronto (Waterfront)</t>
        </is>
      </c>
      <c r="N22" s="37" t="n">
        <v>2019</v>
      </c>
      <c r="O22" s="37" t="inlineStr">
        <is>
          <t>4003</t>
        </is>
      </c>
      <c r="P22" s="37" t="inlineStr">
        <is>
          <t>4003 - 10 York St</t>
        </is>
      </c>
      <c r="Q22" s="37" t="inlineStr">
        <is>
          <t>2</t>
        </is>
      </c>
      <c r="R22" s="37" t="n">
        <v>2</v>
      </c>
      <c r="S22" s="37" t="n">
        <v>830</v>
      </c>
      <c r="U22" s="37" t="n">
        <v>1</v>
      </c>
      <c r="V22" s="37" t="inlineStr">
        <is>
          <t>Yes</t>
        </is>
      </c>
      <c r="Z22" s="37" t="inlineStr">
        <is>
          <t>Built 2019</t>
        </is>
      </c>
      <c r="AB22" s="59" t="n">
        <v>3495</v>
      </c>
      <c r="AC22" s="59" t="n">
        <v>3495</v>
      </c>
      <c r="AD22" s="37">
        <f>IFERROR(AB22/B22,"")</f>
        <v/>
      </c>
      <c r="AE22" s="37">
        <f>IFERROR(AC22/B22,"")</f>
        <v/>
      </c>
      <c r="AI22" s="37" t="inlineStr">
        <is>
          <t>2026-06-07</t>
        </is>
      </c>
      <c r="AJ22" s="37" t="inlineStr">
        <is>
          <t>C13247746</t>
        </is>
      </c>
      <c r="AK22" s="37" t="inlineStr">
        <is>
          <t>https://condos.ca/toronto/ten-york-10-york-st/unit-4003-C13247746</t>
        </is>
      </c>
      <c r="AL22" s="37" t="inlineStr">
        <is>
          <t>Leased comp. Interior SF verified (condos.ca per-unit registered area), the 2026-06-16 pull (re-confirm on live page next run).</t>
        </is>
      </c>
      <c r="AM22" s="37" t="inlineStr">
        <is>
          <t>Condo</t>
        </is>
      </c>
      <c r="AN22" s="37">
        <f>IFERROR(E22*(1+IF(AM22="Apartment",Data_Summary!$C$3,0)),"")</f>
        <v/>
      </c>
      <c r="AO22" s="85" t="n">
        <v>46189</v>
      </c>
    </row>
    <row r="23" ht="15" customHeight="1" s="38">
      <c r="A23" s="37">
        <f>IF(AND(ISNUMBER(B23),B23&gt;0,ISNUMBER(AB23),AB23&gt;0,J23&gt;=Data_Summary!$C$1),1,0)</f>
        <v/>
      </c>
      <c r="B23" s="79" t="n">
        <v>710</v>
      </c>
      <c r="C23" s="37">
        <f>IF(ISNUMBER(AB23),AB23,"")</f>
        <v/>
      </c>
      <c r="D23" s="37">
        <f>IF(ISNUMBER(C23),C23-U23*Data_Summary!$C$2,"")</f>
        <v/>
      </c>
      <c r="E23" s="79">
        <f>IFERROR(C23/B23,"")</f>
        <v/>
      </c>
      <c r="F23" s="37">
        <f>IFERROR(D23/B23,"")</f>
        <v/>
      </c>
      <c r="G23" s="37">
        <f>Q23</f>
        <v/>
      </c>
      <c r="H23" s="37">
        <f>IFERROR(LEFT(G23,1),"")</f>
        <v/>
      </c>
      <c r="I23" s="37">
        <f>IF(LEN(G23)&gt;1,1,0)</f>
        <v/>
      </c>
      <c r="J23" s="80" t="n">
        <v>46181</v>
      </c>
      <c r="K23" s="37" t="inlineStr">
        <is>
          <t>Ten York</t>
        </is>
      </c>
      <c r="L23" s="37" t="inlineStr">
        <is>
          <t>10 York St</t>
        </is>
      </c>
      <c r="M23" s="37" t="inlineStr">
        <is>
          <t>Toronto (Waterfront)</t>
        </is>
      </c>
      <c r="N23" s="37" t="n">
        <v>2019</v>
      </c>
      <c r="O23" s="37" t="inlineStr">
        <is>
          <t>5102</t>
        </is>
      </c>
      <c r="P23" s="37" t="inlineStr">
        <is>
          <t>5102 - 10 York St</t>
        </is>
      </c>
      <c r="Q23" s="37" t="inlineStr">
        <is>
          <t>1+1</t>
        </is>
      </c>
      <c r="R23" s="37" t="n">
        <v>2</v>
      </c>
      <c r="S23" s="37" t="n">
        <v>710</v>
      </c>
      <c r="U23" s="37" t="n">
        <v>0</v>
      </c>
      <c r="V23" s="37" t="inlineStr">
        <is>
          <t>No</t>
        </is>
      </c>
      <c r="Z23" s="37" t="inlineStr">
        <is>
          <t>Built 2019</t>
        </is>
      </c>
      <c r="AB23" s="59" t="n">
        <v>2900</v>
      </c>
      <c r="AC23" s="59" t="n">
        <v>2700</v>
      </c>
      <c r="AD23" s="37">
        <f>IFERROR(AB23/B23,"")</f>
        <v/>
      </c>
      <c r="AE23" s="37">
        <f>IFERROR(AC23/B23,"")</f>
        <v/>
      </c>
      <c r="AI23" s="37" t="inlineStr">
        <is>
          <t>2026-06-08</t>
        </is>
      </c>
      <c r="AJ23" s="37" t="inlineStr">
        <is>
          <t>C13207690</t>
        </is>
      </c>
      <c r="AK23" s="37" t="inlineStr">
        <is>
          <t>https://condos.ca/toronto/ten-york-10-york-st/unit-5102-C13207690</t>
        </is>
      </c>
      <c r="AL23" s="37" t="inlineStr">
        <is>
          <t>Leased comp. Interior SF verified (condos.ca per-unit registered area), the 2026-06-16 pull (re-confirm on live page next run).</t>
        </is>
      </c>
      <c r="AM23" s="37" t="inlineStr">
        <is>
          <t>Condo</t>
        </is>
      </c>
      <c r="AN23" s="37">
        <f>IFERROR(E23*(1+IF(AM23="Apartment",Data_Summary!$C$3,0)),"")</f>
        <v/>
      </c>
      <c r="AO23" s="85" t="n">
        <v>46189</v>
      </c>
    </row>
    <row r="24" ht="15" customHeight="1" s="38">
      <c r="A24" s="37">
        <f>IF(AND(ISNUMBER(B24),B24&gt;0,ISNUMBER(AB24),AB24&gt;0,J24&gt;=Data_Summary!$C$1),1,0)</f>
        <v/>
      </c>
      <c r="B24" s="79" t="n">
        <v>779</v>
      </c>
      <c r="C24" s="37">
        <f>IF(ISNUMBER(AB24),AB24,"")</f>
        <v/>
      </c>
      <c r="D24" s="37">
        <f>IF(ISNUMBER(C24),C24-U24*Data_Summary!$C$2,"")</f>
        <v/>
      </c>
      <c r="E24" s="79">
        <f>IFERROR(C24/B24,"")</f>
        <v/>
      </c>
      <c r="F24" s="37">
        <f>IFERROR(D24/B24,"")</f>
        <v/>
      </c>
      <c r="G24" s="37">
        <f>Q24</f>
        <v/>
      </c>
      <c r="H24" s="37">
        <f>IFERROR(LEFT(G24,1),"")</f>
        <v/>
      </c>
      <c r="I24" s="37">
        <f>IF(LEN(G24)&gt;1,1,0)</f>
        <v/>
      </c>
      <c r="J24" s="80" t="n">
        <v>46179</v>
      </c>
      <c r="K24" s="37" t="inlineStr">
        <is>
          <t>Ten York</t>
        </is>
      </c>
      <c r="L24" s="37" t="inlineStr">
        <is>
          <t>10 York St</t>
        </is>
      </c>
      <c r="M24" s="37" t="inlineStr">
        <is>
          <t>Toronto (Waterfront)</t>
        </is>
      </c>
      <c r="N24" s="37" t="n">
        <v>2019</v>
      </c>
      <c r="O24" s="37" t="inlineStr">
        <is>
          <t>5001</t>
        </is>
      </c>
      <c r="P24" s="37" t="inlineStr">
        <is>
          <t>5001 - 10 York St</t>
        </is>
      </c>
      <c r="Q24" s="37" t="inlineStr">
        <is>
          <t>1+1</t>
        </is>
      </c>
      <c r="R24" s="37" t="n">
        <v>2</v>
      </c>
      <c r="S24" s="37" t="n">
        <v>779</v>
      </c>
      <c r="U24" s="37" t="n">
        <v>0</v>
      </c>
      <c r="V24" s="37" t="inlineStr">
        <is>
          <t>No</t>
        </is>
      </c>
      <c r="Z24" s="37" t="inlineStr">
        <is>
          <t>Built 2019</t>
        </is>
      </c>
      <c r="AB24" s="59" t="n">
        <v>2850</v>
      </c>
      <c r="AC24" s="59" t="n">
        <v>2850</v>
      </c>
      <c r="AD24" s="37">
        <f>IFERROR(AB24/B24,"")</f>
        <v/>
      </c>
      <c r="AE24" s="37">
        <f>IFERROR(AC24/B24,"")</f>
        <v/>
      </c>
      <c r="AI24" s="37" t="inlineStr">
        <is>
          <t>2026-06-06</t>
        </is>
      </c>
      <c r="AJ24" s="37" t="inlineStr">
        <is>
          <t>C13208742</t>
        </is>
      </c>
      <c r="AK24" s="37" t="inlineStr">
        <is>
          <t>https://condos.ca/toronto/ten-york-10-york-st/unit-5001-C13208742</t>
        </is>
      </c>
      <c r="AL24" s="37" t="inlineStr">
        <is>
          <t>Leased comp. Interior SF verified (condos.ca per-unit registered area), the 2026-06-16 pull (re-confirm on live page next run).</t>
        </is>
      </c>
      <c r="AM24" s="37" t="inlineStr">
        <is>
          <t>Condo</t>
        </is>
      </c>
      <c r="AN24" s="37">
        <f>IFERROR(E24*(1+IF(AM24="Apartment",Data_Summary!$C$3,0)),"")</f>
        <v/>
      </c>
      <c r="AO24" s="85" t="n">
        <v>46189</v>
      </c>
    </row>
    <row r="25" ht="15" customHeight="1" s="38">
      <c r="A25" s="37">
        <f>IF(AND(ISNUMBER(B25),B25&gt;0,ISNUMBER(AB25),AB25&gt;0,J25&gt;=Data_Summary!$C$1),1,0)</f>
        <v/>
      </c>
      <c r="B25" s="79" t="n">
        <v>575</v>
      </c>
      <c r="C25" s="37">
        <f>IF(ISNUMBER(AB25),AB25,"")</f>
        <v/>
      </c>
      <c r="D25" s="37">
        <f>IF(ISNUMBER(C25),C25-U25*Data_Summary!$C$2,"")</f>
        <v/>
      </c>
      <c r="E25" s="79">
        <f>IFERROR(C25/B25,"")</f>
        <v/>
      </c>
      <c r="F25" s="37">
        <f>IFERROR(D25/B25,"")</f>
        <v/>
      </c>
      <c r="G25" s="37">
        <f>Q25</f>
        <v/>
      </c>
      <c r="H25" s="37">
        <f>IFERROR(LEFT(G25,1),"")</f>
        <v/>
      </c>
      <c r="I25" s="37">
        <f>IF(LEN(G25)&gt;1,1,0)</f>
        <v/>
      </c>
      <c r="J25" s="80" t="n">
        <v>46181</v>
      </c>
      <c r="K25" s="37" t="inlineStr">
        <is>
          <t>Ten York</t>
        </is>
      </c>
      <c r="L25" s="37" t="inlineStr">
        <is>
          <t>10 York St</t>
        </is>
      </c>
      <c r="M25" s="37" t="inlineStr">
        <is>
          <t>Toronto (Waterfront)</t>
        </is>
      </c>
      <c r="N25" s="37" t="n">
        <v>2019</v>
      </c>
      <c r="O25" s="37" t="inlineStr">
        <is>
          <t>4208</t>
        </is>
      </c>
      <c r="P25" s="37" t="inlineStr">
        <is>
          <t>4208 - 10 York St</t>
        </is>
      </c>
      <c r="Q25" s="37" t="inlineStr">
        <is>
          <t>1</t>
        </is>
      </c>
      <c r="R25" s="37" t="n">
        <v>1</v>
      </c>
      <c r="S25" s="37" t="n">
        <v>575</v>
      </c>
      <c r="U25" s="37" t="n">
        <v>0</v>
      </c>
      <c r="V25" s="37" t="inlineStr">
        <is>
          <t>No</t>
        </is>
      </c>
      <c r="Z25" s="37" t="inlineStr">
        <is>
          <t>Built 2019</t>
        </is>
      </c>
      <c r="AB25" s="59" t="n">
        <v>2750</v>
      </c>
      <c r="AC25" s="59" t="n">
        <v>2750</v>
      </c>
      <c r="AD25" s="37">
        <f>IFERROR(AB25/B25,"")</f>
        <v/>
      </c>
      <c r="AE25" s="37">
        <f>IFERROR(AC25/B25,"")</f>
        <v/>
      </c>
      <c r="AI25" s="37" t="inlineStr">
        <is>
          <t>2026-06-08</t>
        </is>
      </c>
      <c r="AJ25" s="37" t="inlineStr">
        <is>
          <t>C13235092</t>
        </is>
      </c>
      <c r="AK25" s="37" t="inlineStr">
        <is>
          <t>https://condos.ca/toronto/ten-york-10-york-st/unit-4208-C13235092</t>
        </is>
      </c>
      <c r="AL25" s="37" t="inlineStr">
        <is>
          <t>Leased comp. Interior SF verified (condos.ca per-unit registered area), the 2026-06-16 pull (re-confirm on live page next run).</t>
        </is>
      </c>
      <c r="AM25" s="37" t="inlineStr">
        <is>
          <t>Condo</t>
        </is>
      </c>
      <c r="AN25" s="37">
        <f>IFERROR(E25*(1+IF(AM25="Apartment",Data_Summary!$C$3,0)),"")</f>
        <v/>
      </c>
      <c r="AO25" s="85" t="n">
        <v>46189</v>
      </c>
    </row>
    <row r="26" ht="15" customHeight="1" s="38">
      <c r="A26" s="37">
        <f>IF(AND(ISNUMBER(B26),B26&gt;0,ISNUMBER(AB26),AB26&gt;0,J26&gt;=Data_Summary!$C$1),1,0)</f>
        <v/>
      </c>
      <c r="B26" s="79" t="n">
        <v>928</v>
      </c>
      <c r="C26" s="37">
        <f>IF(ISNUMBER(AB26),AB26,"")</f>
        <v/>
      </c>
      <c r="D26" s="37">
        <f>IF(ISNUMBER(C26),C26-U26*Data_Summary!$C$2,"")</f>
        <v/>
      </c>
      <c r="E26" s="79">
        <f>IFERROR(C26/B26,"")</f>
        <v/>
      </c>
      <c r="F26" s="37">
        <f>IFERROR(D26/B26,"")</f>
        <v/>
      </c>
      <c r="G26" s="37">
        <f>Q26</f>
        <v/>
      </c>
      <c r="H26" s="37">
        <f>IFERROR(LEFT(G26,1),"")</f>
        <v/>
      </c>
      <c r="I26" s="37">
        <f>IF(LEN(G26)&gt;1,1,0)</f>
        <v/>
      </c>
      <c r="J26" s="80" t="n">
        <v>46188</v>
      </c>
      <c r="K26" s="37" t="inlineStr">
        <is>
          <t>Forward Condos</t>
        </is>
      </c>
      <c r="L26" s="37" t="inlineStr">
        <is>
          <t>70-90 Queens Wharf Rd</t>
        </is>
      </c>
      <c r="M26" s="37" t="inlineStr">
        <is>
          <t>Toronto (CityPlace)</t>
        </is>
      </c>
      <c r="N26" s="37" t="n">
        <v>2018</v>
      </c>
      <c r="O26" s="37" t="inlineStr">
        <is>
          <t>906</t>
        </is>
      </c>
      <c r="P26" s="37" t="inlineStr">
        <is>
          <t>906 - 70-90 Queens Wharf Rd</t>
        </is>
      </c>
      <c r="Q26" s="37" t="inlineStr">
        <is>
          <t>3</t>
        </is>
      </c>
      <c r="R26" s="37" t="n">
        <v>2</v>
      </c>
      <c r="S26" s="37" t="n">
        <v>928</v>
      </c>
      <c r="U26" s="37" t="n">
        <v>1</v>
      </c>
      <c r="V26" s="37" t="inlineStr">
        <is>
          <t>Yes</t>
        </is>
      </c>
      <c r="Z26" s="37" t="inlineStr">
        <is>
          <t>Built 2018</t>
        </is>
      </c>
      <c r="AB26" s="59" t="n">
        <v>4200</v>
      </c>
      <c r="AC26" s="59" t="n">
        <v>4350</v>
      </c>
      <c r="AD26" s="37">
        <f>IFERROR(AB26/B26,"")</f>
        <v/>
      </c>
      <c r="AE26" s="37">
        <f>IFERROR(AC26/B26,"")</f>
        <v/>
      </c>
      <c r="AI26" s="37" t="inlineStr">
        <is>
          <t>2026-06-15</t>
        </is>
      </c>
      <c r="AJ26" s="37" t="inlineStr">
        <is>
          <t>C13212972</t>
        </is>
      </c>
      <c r="AK26" s="37" t="inlineStr">
        <is>
          <t>https://condos.ca/toronto/forward-condos-70-90-queens-wharf-rd/unit-906-C13212972</t>
        </is>
      </c>
      <c r="AL26" s="37" t="inlineStr">
        <is>
          <t>Leased comp. Interior SF verified (condos.ca per-unit registered area), the 2026-06-16 pull (re-confirm on live page next run).</t>
        </is>
      </c>
      <c r="AM26" s="37" t="inlineStr">
        <is>
          <t>Condo</t>
        </is>
      </c>
      <c r="AN26" s="37">
        <f>IFERROR(E26*(1+IF(AM26="Apartment",Data_Summary!$C$3,0)),"")</f>
        <v/>
      </c>
      <c r="AO26" s="85" t="n">
        <v>46189</v>
      </c>
    </row>
    <row r="27" ht="15" customHeight="1" s="38">
      <c r="A27" s="37">
        <f>IF(AND(ISNUMBER(B27),B27&gt;0,ISNUMBER(AB27),AB27&gt;0,J27&gt;=Data_Summary!$C$1),1,0)</f>
        <v/>
      </c>
      <c r="B27" s="79" t="n">
        <v>802</v>
      </c>
      <c r="C27" s="37">
        <f>IF(ISNUMBER(AB27),AB27,"")</f>
        <v/>
      </c>
      <c r="D27" s="37">
        <f>IF(ISNUMBER(C27),C27-U27*Data_Summary!$C$2,"")</f>
        <v/>
      </c>
      <c r="E27" s="79">
        <f>IFERROR(C27/B27,"")</f>
        <v/>
      </c>
      <c r="F27" s="37">
        <f>IFERROR(D27/B27,"")</f>
        <v/>
      </c>
      <c r="G27" s="37">
        <f>Q27</f>
        <v/>
      </c>
      <c r="H27" s="37">
        <f>IFERROR(LEFT(G27,1),"")</f>
        <v/>
      </c>
      <c r="I27" s="37">
        <f>IF(LEN(G27)&gt;1,1,0)</f>
        <v/>
      </c>
      <c r="J27" s="80" t="n">
        <v>46180</v>
      </c>
      <c r="K27" s="37" t="inlineStr">
        <is>
          <t>Forward Condos</t>
        </is>
      </c>
      <c r="L27" s="37" t="inlineStr">
        <is>
          <t>70-90 Queens Wharf Rd</t>
        </is>
      </c>
      <c r="M27" s="37" t="inlineStr">
        <is>
          <t>Toronto (CityPlace)</t>
        </is>
      </c>
      <c r="N27" s="37" t="n">
        <v>2018</v>
      </c>
      <c r="O27" s="37" t="inlineStr">
        <is>
          <t>1109</t>
        </is>
      </c>
      <c r="P27" s="37" t="inlineStr">
        <is>
          <t>1109 - 70-90 Queens Wharf Rd</t>
        </is>
      </c>
      <c r="Q27" s="37" t="inlineStr">
        <is>
          <t>2</t>
        </is>
      </c>
      <c r="R27" s="37" t="n">
        <v>2</v>
      </c>
      <c r="S27" s="37" t="n">
        <v>802</v>
      </c>
      <c r="U27" s="37" t="n">
        <v>1</v>
      </c>
      <c r="V27" s="37" t="inlineStr">
        <is>
          <t>Yes</t>
        </is>
      </c>
      <c r="Z27" s="37" t="inlineStr">
        <is>
          <t>Built 2018</t>
        </is>
      </c>
      <c r="AB27" s="59" t="n">
        <v>3600</v>
      </c>
      <c r="AC27" s="59" t="n">
        <v>3600</v>
      </c>
      <c r="AD27" s="37">
        <f>IFERROR(AB27/B27,"")</f>
        <v/>
      </c>
      <c r="AE27" s="37">
        <f>IFERROR(AC27/B27,"")</f>
        <v/>
      </c>
      <c r="AI27" s="37" t="inlineStr">
        <is>
          <t>2026-06-07</t>
        </is>
      </c>
      <c r="AJ27" s="37" t="inlineStr">
        <is>
          <t>C13220162</t>
        </is>
      </c>
      <c r="AK27" s="37" t="inlineStr">
        <is>
          <t>https://condos.ca/toronto/forward-condos-70-90-queens-wharf-rd/unit-1109-C13220162</t>
        </is>
      </c>
      <c r="AL27" s="37" t="inlineStr">
        <is>
          <t>Leased comp. Interior SF verified (condos.ca per-unit registered area), the 2026-06-16 pull (re-confirm on live page next run).</t>
        </is>
      </c>
      <c r="AM27" s="37" t="inlineStr">
        <is>
          <t>Condo</t>
        </is>
      </c>
      <c r="AN27" s="37">
        <f>IFERROR(E27*(1+IF(AM27="Apartment",Data_Summary!$C$3,0)),"")</f>
        <v/>
      </c>
      <c r="AO27" s="85" t="n">
        <v>46189</v>
      </c>
    </row>
    <row r="28" ht="15" customHeight="1" s="38">
      <c r="A28" s="37">
        <f>IF(AND(ISNUMBER(B28),B28&gt;0,ISNUMBER(AB28),AB28&gt;0,J28&gt;=Data_Summary!$C$1),1,0)</f>
        <v/>
      </c>
      <c r="B28" s="79" t="n">
        <v>579</v>
      </c>
      <c r="C28" s="37">
        <f>IF(ISNUMBER(AB28),AB28,"")</f>
        <v/>
      </c>
      <c r="D28" s="37">
        <f>IF(ISNUMBER(C28),C28-U28*Data_Summary!$C$2,"")</f>
        <v/>
      </c>
      <c r="E28" s="79">
        <f>IFERROR(C28/B28,"")</f>
        <v/>
      </c>
      <c r="F28" s="37">
        <f>IFERROR(D28/B28,"")</f>
        <v/>
      </c>
      <c r="G28" s="37">
        <f>Q28</f>
        <v/>
      </c>
      <c r="H28" s="37">
        <f>IFERROR(LEFT(G28,1),"")</f>
        <v/>
      </c>
      <c r="I28" s="37">
        <f>IF(LEN(G28)&gt;1,1,0)</f>
        <v/>
      </c>
      <c r="J28" s="80" t="n">
        <v>46182</v>
      </c>
      <c r="K28" s="37" t="inlineStr">
        <is>
          <t>Forward Condos</t>
        </is>
      </c>
      <c r="L28" s="37" t="inlineStr">
        <is>
          <t>70-90 Queens Wharf Rd</t>
        </is>
      </c>
      <c r="M28" s="37" t="inlineStr">
        <is>
          <t>Toronto (CityPlace)</t>
        </is>
      </c>
      <c r="N28" s="37" t="n">
        <v>2018</v>
      </c>
      <c r="O28" s="37" t="inlineStr">
        <is>
          <t>1501</t>
        </is>
      </c>
      <c r="P28" s="37" t="inlineStr">
        <is>
          <t>1501 - 70-90 Queens Wharf Rd</t>
        </is>
      </c>
      <c r="Q28" s="37" t="inlineStr">
        <is>
          <t>1+1</t>
        </is>
      </c>
      <c r="R28" s="37" t="n">
        <v>1</v>
      </c>
      <c r="S28" s="37" t="n">
        <v>579</v>
      </c>
      <c r="U28" s="37" t="n">
        <v>1</v>
      </c>
      <c r="V28" s="37" t="inlineStr">
        <is>
          <t>Yes</t>
        </is>
      </c>
      <c r="Z28" s="37" t="inlineStr">
        <is>
          <t>Built 2018</t>
        </is>
      </c>
      <c r="AB28" s="59" t="n">
        <v>2680</v>
      </c>
      <c r="AC28" s="59" t="n">
        <v>2680</v>
      </c>
      <c r="AD28" s="37">
        <f>IFERROR(AB28/B28,"")</f>
        <v/>
      </c>
      <c r="AE28" s="37">
        <f>IFERROR(AC28/B28,"")</f>
        <v/>
      </c>
      <c r="AI28" s="37" t="inlineStr">
        <is>
          <t>2026-06-09</t>
        </is>
      </c>
      <c r="AJ28" s="37" t="inlineStr">
        <is>
          <t>C13229088</t>
        </is>
      </c>
      <c r="AK28" s="37" t="inlineStr">
        <is>
          <t>https://condos.ca/toronto/forward-condos-70-90-queens-wharf-rd/unit-1501-C13229088</t>
        </is>
      </c>
      <c r="AL28" s="37" t="inlineStr">
        <is>
          <t>Leased comp. Interior SF verified (condos.ca per-unit registered area), the 2026-06-16 pull (re-confirm on live page next run).</t>
        </is>
      </c>
      <c r="AM28" s="37" t="inlineStr">
        <is>
          <t>Condo</t>
        </is>
      </c>
      <c r="AN28" s="37">
        <f>IFERROR(E28*(1+IF(AM28="Apartment",Data_Summary!$C$3,0)),"")</f>
        <v/>
      </c>
      <c r="AO28" s="85" t="n">
        <v>46189</v>
      </c>
    </row>
    <row r="29" ht="15" customHeight="1" s="38">
      <c r="A29" s="37">
        <f>IF(AND(ISNUMBER(B29),B29&gt;0,ISNUMBER(AB29),AB29&gt;0,J29&gt;=Data_Summary!$C$1),1,0)</f>
        <v/>
      </c>
      <c r="B29" s="79" t="n">
        <v>579</v>
      </c>
      <c r="C29" s="37">
        <f>IF(ISNUMBER(AB29),AB29,"")</f>
        <v/>
      </c>
      <c r="D29" s="37">
        <f>IF(ISNUMBER(C29),C29-U29*Data_Summary!$C$2,"")</f>
        <v/>
      </c>
      <c r="E29" s="79">
        <f>IFERROR(C29/B29,"")</f>
        <v/>
      </c>
      <c r="F29" s="37">
        <f>IFERROR(D29/B29,"")</f>
        <v/>
      </c>
      <c r="G29" s="37">
        <f>Q29</f>
        <v/>
      </c>
      <c r="H29" s="37">
        <f>IFERROR(LEFT(G29,1),"")</f>
        <v/>
      </c>
      <c r="I29" s="37">
        <f>IF(LEN(G29)&gt;1,1,0)</f>
        <v/>
      </c>
      <c r="J29" s="80" t="n">
        <v>46179</v>
      </c>
      <c r="K29" s="37" t="inlineStr">
        <is>
          <t>Forward Condos</t>
        </is>
      </c>
      <c r="L29" s="37" t="inlineStr">
        <is>
          <t>70-90 Queens Wharf Rd</t>
        </is>
      </c>
      <c r="M29" s="37" t="inlineStr">
        <is>
          <t>Toronto (CityPlace)</t>
        </is>
      </c>
      <c r="N29" s="37" t="n">
        <v>2018</v>
      </c>
      <c r="O29" s="37" t="inlineStr">
        <is>
          <t>2601</t>
        </is>
      </c>
      <c r="P29" s="37" t="inlineStr">
        <is>
          <t>2601 - 70-90 Queens Wharf Rd</t>
        </is>
      </c>
      <c r="Q29" s="37" t="inlineStr">
        <is>
          <t>1+1</t>
        </is>
      </c>
      <c r="R29" s="37" t="n">
        <v>1</v>
      </c>
      <c r="S29" s="37" t="n">
        <v>579</v>
      </c>
      <c r="U29" s="37" t="n">
        <v>0</v>
      </c>
      <c r="V29" s="37" t="inlineStr">
        <is>
          <t>No</t>
        </is>
      </c>
      <c r="Z29" s="37" t="inlineStr">
        <is>
          <t>Built 2018</t>
        </is>
      </c>
      <c r="AB29" s="59" t="n">
        <v>2400</v>
      </c>
      <c r="AC29" s="59" t="n">
        <v>2400</v>
      </c>
      <c r="AD29" s="37">
        <f>IFERROR(AB29/B29,"")</f>
        <v/>
      </c>
      <c r="AE29" s="37">
        <f>IFERROR(AC29/B29,"")</f>
        <v/>
      </c>
      <c r="AI29" s="37" t="inlineStr">
        <is>
          <t>2026-06-06</t>
        </is>
      </c>
      <c r="AJ29" s="37" t="inlineStr">
        <is>
          <t>C13221156</t>
        </is>
      </c>
      <c r="AK29" s="37" t="inlineStr">
        <is>
          <t>https://condos.ca/toronto/forward-condos-70-90-queens-wharf-rd/unit-2601-C13221156</t>
        </is>
      </c>
      <c r="AL29" s="37" t="inlineStr">
        <is>
          <t>Leased comp. Interior SF verified (condos.ca per-unit registered area), the 2026-06-16 pull (re-confirm on live page next run).</t>
        </is>
      </c>
      <c r="AM29" s="37" t="inlineStr">
        <is>
          <t>Condo</t>
        </is>
      </c>
      <c r="AN29" s="37">
        <f>IFERROR(E29*(1+IF(AM29="Apartment",Data_Summary!$C$3,0)),"")</f>
        <v/>
      </c>
      <c r="AO29" s="85" t="n">
        <v>46189</v>
      </c>
    </row>
    <row r="30" ht="15" customHeight="1" s="38">
      <c r="A30" s="37">
        <f>IF(AND(ISNUMBER(B30),B30&gt;0,ISNUMBER(AB30),AB30&gt;0,J30&gt;=Data_Summary!$C$1),1,0)</f>
        <v/>
      </c>
      <c r="B30" s="79" t="n">
        <v>507</v>
      </c>
      <c r="C30" s="37">
        <f>IF(ISNUMBER(AB30),AB30,"")</f>
        <v/>
      </c>
      <c r="D30" s="37">
        <f>IF(ISNUMBER(C30),C30-U30*Data_Summary!$C$2,"")</f>
        <v/>
      </c>
      <c r="E30" s="79">
        <f>IFERROR(C30/B30,"")</f>
        <v/>
      </c>
      <c r="F30" s="37">
        <f>IFERROR(D30/B30,"")</f>
        <v/>
      </c>
      <c r="G30" s="37">
        <f>Q30</f>
        <v/>
      </c>
      <c r="H30" s="37">
        <f>IFERROR(LEFT(G30,1),"")</f>
        <v/>
      </c>
      <c r="I30" s="37">
        <f>IF(LEN(G30)&gt;1,1,0)</f>
        <v/>
      </c>
      <c r="J30" s="80" t="n">
        <v>46178</v>
      </c>
      <c r="K30" s="37" t="inlineStr">
        <is>
          <t>Forward Condos</t>
        </is>
      </c>
      <c r="L30" s="37" t="inlineStr">
        <is>
          <t>70-90 Queens Wharf Rd</t>
        </is>
      </c>
      <c r="M30" s="37" t="inlineStr">
        <is>
          <t>Toronto (CityPlace)</t>
        </is>
      </c>
      <c r="N30" s="37" t="n">
        <v>2018</v>
      </c>
      <c r="O30" s="37" t="inlineStr">
        <is>
          <t>1801</t>
        </is>
      </c>
      <c r="P30" s="37" t="inlineStr">
        <is>
          <t>1801 - 70-90 Queens Wharf Rd</t>
        </is>
      </c>
      <c r="Q30" s="37" t="inlineStr">
        <is>
          <t>1</t>
        </is>
      </c>
      <c r="R30" s="37" t="n">
        <v>1</v>
      </c>
      <c r="S30" s="37" t="n">
        <v>507</v>
      </c>
      <c r="U30" s="37" t="n">
        <v>0</v>
      </c>
      <c r="V30" s="37" t="inlineStr">
        <is>
          <t>No</t>
        </is>
      </c>
      <c r="Z30" s="37" t="inlineStr">
        <is>
          <t>Built 2018</t>
        </is>
      </c>
      <c r="AB30" s="59" t="n">
        <v>2250</v>
      </c>
      <c r="AC30" s="59" t="n">
        <v>2250</v>
      </c>
      <c r="AD30" s="37">
        <f>IFERROR(AB30/B30,"")</f>
        <v/>
      </c>
      <c r="AE30" s="37">
        <f>IFERROR(AC30/B30,"")</f>
        <v/>
      </c>
      <c r="AI30" s="37" t="inlineStr">
        <is>
          <t>2026-06-05</t>
        </is>
      </c>
      <c r="AJ30" s="37" t="inlineStr">
        <is>
          <t>C13217472</t>
        </is>
      </c>
      <c r="AK30" s="37" t="inlineStr">
        <is>
          <t>https://condos.ca/toronto/forward-condos-70-90-queens-wharf-rd/unit-1801-C13217472</t>
        </is>
      </c>
      <c r="AL30" s="37" t="inlineStr">
        <is>
          <t>Leased comp. Interior SF verified (condos.ca per-unit registered area), the 2026-06-16 pull (re-confirm on live page next run).</t>
        </is>
      </c>
      <c r="AM30" s="37" t="inlineStr">
        <is>
          <t>Condo</t>
        </is>
      </c>
      <c r="AN30" s="37">
        <f>IFERROR(E30*(1+IF(AM30="Apartment",Data_Summary!$C$3,0)),"")</f>
        <v/>
      </c>
      <c r="AO30" s="85" t="n">
        <v>46189</v>
      </c>
    </row>
    <row r="31" ht="15" customHeight="1" s="38">
      <c r="A31" s="37">
        <f>IF(AND(ISNUMBER(B31),B31&gt;0,ISNUMBER(AB31),AB31&gt;0,J31&gt;=Data_Summary!$C$1),1,0)</f>
        <v/>
      </c>
      <c r="B31" s="79" t="n">
        <v>585</v>
      </c>
      <c r="C31" s="37">
        <f>IF(ISNUMBER(AB31),AB31,"")</f>
        <v/>
      </c>
      <c r="D31" s="37">
        <f>IF(ISNUMBER(C31),C31-U31*Data_Summary!$C$2,"")</f>
        <v/>
      </c>
      <c r="E31" s="79">
        <f>IFERROR(C31/B31,"")</f>
        <v/>
      </c>
      <c r="F31" s="37">
        <f>IFERROR(D31/B31,"")</f>
        <v/>
      </c>
      <c r="G31" s="37">
        <f>Q31</f>
        <v/>
      </c>
      <c r="H31" s="37">
        <f>IFERROR(LEFT(G31,1),"")</f>
        <v/>
      </c>
      <c r="I31" s="37">
        <f>IF(LEN(G31)&gt;1,1,0)</f>
        <v/>
      </c>
      <c r="J31" s="80" t="n">
        <v>46183</v>
      </c>
      <c r="K31" s="37" t="inlineStr">
        <is>
          <t>Library District</t>
        </is>
      </c>
      <c r="L31" s="37" t="inlineStr">
        <is>
          <t>170 Fort York Blvd</t>
        </is>
      </c>
      <c r="M31" s="37" t="inlineStr">
        <is>
          <t>Toronto (CityPlace)</t>
        </is>
      </c>
      <c r="N31" s="37" t="n">
        <v>2014</v>
      </c>
      <c r="O31" s="37" t="inlineStr">
        <is>
          <t>2112</t>
        </is>
      </c>
      <c r="P31" s="37" t="inlineStr">
        <is>
          <t>2112 - 170 Fort York Blvd</t>
        </is>
      </c>
      <c r="Q31" s="37" t="inlineStr">
        <is>
          <t>1+1</t>
        </is>
      </c>
      <c r="R31" s="37" t="n">
        <v>1</v>
      </c>
      <c r="S31" s="37" t="n">
        <v>585</v>
      </c>
      <c r="U31" s="37" t="n">
        <v>0</v>
      </c>
      <c r="V31" s="37" t="inlineStr">
        <is>
          <t>No</t>
        </is>
      </c>
      <c r="Z31" s="37" t="inlineStr">
        <is>
          <t>Built 2014</t>
        </is>
      </c>
      <c r="AB31" s="59" t="n">
        <v>2400</v>
      </c>
      <c r="AC31" s="59" t="n">
        <v>2400</v>
      </c>
      <c r="AD31" s="37">
        <f>IFERROR(AB31/B31,"")</f>
        <v/>
      </c>
      <c r="AE31" s="37">
        <f>IFERROR(AC31/B31,"")</f>
        <v/>
      </c>
      <c r="AI31" s="37" t="inlineStr">
        <is>
          <t>2026-06-10</t>
        </is>
      </c>
      <c r="AJ31" s="37" t="inlineStr">
        <is>
          <t>C13220980</t>
        </is>
      </c>
      <c r="AK31" s="37" t="inlineStr">
        <is>
          <t>https://condos.ca/toronto/library-district-170-fort-york-blvd/unit-2112-C13220980</t>
        </is>
      </c>
      <c r="AL31" s="37" t="inlineStr">
        <is>
          <t>Leased comp. Interior SF verified (condos.ca per-unit registered area), the 2026-06-16 pull (re-confirm on live page next run).</t>
        </is>
      </c>
      <c r="AM31" s="37" t="inlineStr">
        <is>
          <t>Condo</t>
        </is>
      </c>
      <c r="AN31" s="37">
        <f>IFERROR(E31*(1+IF(AM31="Apartment",Data_Summary!$C$3,0)),"")</f>
        <v/>
      </c>
      <c r="AO31" s="85" t="n">
        <v>46189</v>
      </c>
    </row>
    <row r="32" ht="15" customHeight="1" s="38">
      <c r="A32" s="37">
        <f>IF(AND(ISNUMBER(B32),B32&gt;0,ISNUMBER(AB32),AB32&gt;0,J32&gt;=Data_Summary!$C$1),1,0)</f>
        <v/>
      </c>
      <c r="B32" s="79" t="n">
        <v>492</v>
      </c>
      <c r="C32" s="37">
        <f>IF(ISNUMBER(AB32),AB32,"")</f>
        <v/>
      </c>
      <c r="D32" s="37">
        <f>IF(ISNUMBER(C32),C32-U32*Data_Summary!$C$2,"")</f>
        <v/>
      </c>
      <c r="E32" s="79">
        <f>IFERROR(C32/B32,"")</f>
        <v/>
      </c>
      <c r="F32" s="37">
        <f>IFERROR(D32/B32,"")</f>
        <v/>
      </c>
      <c r="G32" s="37">
        <f>Q32</f>
        <v/>
      </c>
      <c r="H32" s="37">
        <f>IFERROR(LEFT(G32,1),"")</f>
        <v/>
      </c>
      <c r="I32" s="37">
        <f>IF(LEN(G32)&gt;1,1,0)</f>
        <v/>
      </c>
      <c r="J32" s="80" t="n">
        <v>46171</v>
      </c>
      <c r="K32" s="37" t="inlineStr">
        <is>
          <t>Library District</t>
        </is>
      </c>
      <c r="L32" s="37" t="inlineStr">
        <is>
          <t>170 Fort York Blvd</t>
        </is>
      </c>
      <c r="M32" s="37" t="inlineStr">
        <is>
          <t>Toronto (CityPlace)</t>
        </is>
      </c>
      <c r="N32" s="37" t="n">
        <v>2014</v>
      </c>
      <c r="O32" s="37" t="inlineStr">
        <is>
          <t>1008</t>
        </is>
      </c>
      <c r="P32" s="37" t="inlineStr">
        <is>
          <t>1008 - 170 Fort York Blvd</t>
        </is>
      </c>
      <c r="Q32" s="37" t="inlineStr">
        <is>
          <t>1</t>
        </is>
      </c>
      <c r="R32" s="37" t="n">
        <v>1</v>
      </c>
      <c r="S32" s="37" t="n">
        <v>492</v>
      </c>
      <c r="U32" s="37" t="n">
        <v>0</v>
      </c>
      <c r="V32" s="37" t="inlineStr">
        <is>
          <t>No</t>
        </is>
      </c>
      <c r="Z32" s="37" t="inlineStr">
        <is>
          <t>Built 2014</t>
        </is>
      </c>
      <c r="AB32" s="59" t="n">
        <v>2200</v>
      </c>
      <c r="AC32" s="59" t="n">
        <v>2200</v>
      </c>
      <c r="AD32" s="37">
        <f>IFERROR(AB32/B32,"")</f>
        <v/>
      </c>
      <c r="AE32" s="37">
        <f>IFERROR(AC32/B32,"")</f>
        <v/>
      </c>
      <c r="AI32" s="37" t="inlineStr">
        <is>
          <t>2026-05-29</t>
        </is>
      </c>
      <c r="AJ32" s="37" t="inlineStr">
        <is>
          <t>C13177424</t>
        </is>
      </c>
      <c r="AK32" s="37" t="inlineStr">
        <is>
          <t>https://condos.ca/toronto/library-district-170-fort-york-blvd/unit-1008-C13177424</t>
        </is>
      </c>
      <c r="AL32" s="37" t="inlineStr">
        <is>
          <t>Leased comp. Interior SF verified (condos.ca per-unit registered area), the 2026-06-16 pull (re-confirm on live page next run).</t>
        </is>
      </c>
      <c r="AM32" s="37" t="inlineStr">
        <is>
          <t>Condo</t>
        </is>
      </c>
      <c r="AN32" s="37">
        <f>IFERROR(E32*(1+IF(AM32="Apartment",Data_Summary!$C$3,0)),"")</f>
        <v/>
      </c>
      <c r="AO32" s="85" t="n">
        <v>46189</v>
      </c>
    </row>
    <row r="33" ht="15" customHeight="1" s="38">
      <c r="A33" s="37">
        <f>IF(AND(ISNUMBER(B33),B33&gt;0,ISNUMBER(AB33),AB33&gt;0,J33&gt;=Data_Summary!$C$1),1,0)</f>
        <v/>
      </c>
      <c r="B33" s="79" t="n">
        <v>686</v>
      </c>
      <c r="C33" s="37">
        <f>IF(ISNUMBER(AB33),AB33,"")</f>
        <v/>
      </c>
      <c r="D33" s="37">
        <f>IF(ISNUMBER(C33),C33-U33*Data_Summary!$C$2,"")</f>
        <v/>
      </c>
      <c r="E33" s="79">
        <f>IFERROR(C33/B33,"")</f>
        <v/>
      </c>
      <c r="F33" s="37">
        <f>IFERROR(D33/B33,"")</f>
        <v/>
      </c>
      <c r="G33" s="37">
        <f>Q33</f>
        <v/>
      </c>
      <c r="H33" s="37">
        <f>IFERROR(LEFT(G33,1),"")</f>
        <v/>
      </c>
      <c r="I33" s="37">
        <f>IF(LEN(G33)&gt;1,1,0)</f>
        <v/>
      </c>
      <c r="J33" s="80" t="n">
        <v>46167</v>
      </c>
      <c r="K33" s="37" t="inlineStr">
        <is>
          <t>Library District</t>
        </is>
      </c>
      <c r="L33" s="37" t="inlineStr">
        <is>
          <t>170 Fort York Blvd</t>
        </is>
      </c>
      <c r="M33" s="37" t="inlineStr">
        <is>
          <t>Toronto (CityPlace)</t>
        </is>
      </c>
      <c r="N33" s="37" t="n">
        <v>2014</v>
      </c>
      <c r="O33" s="37" t="inlineStr">
        <is>
          <t>309</t>
        </is>
      </c>
      <c r="P33" s="37" t="inlineStr">
        <is>
          <t>309 - 170 Fort York Blvd</t>
        </is>
      </c>
      <c r="Q33" s="37" t="inlineStr">
        <is>
          <t>2</t>
        </is>
      </c>
      <c r="R33" s="37" t="n">
        <v>1</v>
      </c>
      <c r="S33" s="37" t="n">
        <v>686</v>
      </c>
      <c r="U33" s="37" t="n">
        <v>1</v>
      </c>
      <c r="V33" s="37" t="inlineStr">
        <is>
          <t>Yes</t>
        </is>
      </c>
      <c r="Z33" s="37" t="inlineStr">
        <is>
          <t>Built 2014</t>
        </is>
      </c>
      <c r="AB33" s="59" t="n">
        <v>2795</v>
      </c>
      <c r="AC33" s="59" t="n">
        <v>2795</v>
      </c>
      <c r="AD33" s="37">
        <f>IFERROR(AB33/B33,"")</f>
        <v/>
      </c>
      <c r="AE33" s="37">
        <f>IFERROR(AC33/B33,"")</f>
        <v/>
      </c>
      <c r="AI33" s="37" t="inlineStr">
        <is>
          <t>2026-05-25</t>
        </is>
      </c>
      <c r="AJ33" s="37" t="inlineStr">
        <is>
          <t>C13159384</t>
        </is>
      </c>
      <c r="AK33" s="37" t="inlineStr">
        <is>
          <t>https://condos.ca/toronto/library-district-170-fort-york-blvd/unit-309-C13159384</t>
        </is>
      </c>
      <c r="AL33" s="37" t="inlineStr">
        <is>
          <t>Leased comp. Interior SF verified (condos.ca per-unit registered area), the 2026-06-16 pull (re-confirm on live page next run).</t>
        </is>
      </c>
      <c r="AM33" s="37" t="inlineStr">
        <is>
          <t>Condo</t>
        </is>
      </c>
      <c r="AN33" s="37">
        <f>IFERROR(E33*(1+IF(AM33="Apartment",Data_Summary!$C$3,0)),"")</f>
        <v/>
      </c>
      <c r="AO33" s="85" t="n">
        <v>46189</v>
      </c>
    </row>
    <row r="34" ht="15" customHeight="1" s="38">
      <c r="A34" s="37">
        <f>IF(AND(ISNUMBER(B34),B34&gt;0,ISNUMBER(AB34),AB34&gt;0,J34&gt;=Data_Summary!$C$1),1,0)</f>
        <v/>
      </c>
      <c r="B34" s="79" t="n">
        <v>587</v>
      </c>
      <c r="C34" s="37">
        <f>IF(ISNUMBER(AB34),AB34,"")</f>
        <v/>
      </c>
      <c r="D34" s="37">
        <f>IF(ISNUMBER(C34),C34-U34*Data_Summary!$C$2,"")</f>
        <v/>
      </c>
      <c r="E34" s="79">
        <f>IFERROR(C34/B34,"")</f>
        <v/>
      </c>
      <c r="F34" s="37">
        <f>IFERROR(D34/B34,"")</f>
        <v/>
      </c>
      <c r="G34" s="37">
        <f>Q34</f>
        <v/>
      </c>
      <c r="H34" s="37">
        <f>IFERROR(LEFT(G34,1),"")</f>
        <v/>
      </c>
      <c r="I34" s="37">
        <f>IF(LEN(G34)&gt;1,1,0)</f>
        <v/>
      </c>
      <c r="J34" s="80" t="n">
        <v>46183</v>
      </c>
      <c r="K34" s="37" t="inlineStr">
        <is>
          <t>N1 | N2 - CityPlace</t>
        </is>
      </c>
      <c r="L34" s="37" t="inlineStr">
        <is>
          <t>15 Fort York Blvd</t>
        </is>
      </c>
      <c r="M34" s="37" t="inlineStr">
        <is>
          <t>Toronto (CityPlace)</t>
        </is>
      </c>
      <c r="N34" s="37" t="n">
        <v>2008</v>
      </c>
      <c r="O34" s="37" t="inlineStr">
        <is>
          <t>1601</t>
        </is>
      </c>
      <c r="P34" s="37" t="inlineStr">
        <is>
          <t>1601 - 15 Fort York Blvd</t>
        </is>
      </c>
      <c r="Q34" s="37" t="inlineStr">
        <is>
          <t>1+1</t>
        </is>
      </c>
      <c r="R34" s="37" t="n">
        <v>1</v>
      </c>
      <c r="S34" s="37" t="n">
        <v>587</v>
      </c>
      <c r="U34" s="37" t="n">
        <v>0</v>
      </c>
      <c r="V34" s="37" t="inlineStr">
        <is>
          <t>No</t>
        </is>
      </c>
      <c r="Z34" s="37" t="inlineStr">
        <is>
          <t>Built 2008</t>
        </is>
      </c>
      <c r="AB34" s="59" t="n">
        <v>2600</v>
      </c>
      <c r="AC34" s="59" t="n">
        <v>2600</v>
      </c>
      <c r="AD34" s="37">
        <f>IFERROR(AB34/B34,"")</f>
        <v/>
      </c>
      <c r="AE34" s="37">
        <f>IFERROR(AC34/B34,"")</f>
        <v/>
      </c>
      <c r="AI34" s="37" t="inlineStr">
        <is>
          <t>2026-06-10</t>
        </is>
      </c>
      <c r="AJ34" s="37" t="inlineStr">
        <is>
          <t>C13207458</t>
        </is>
      </c>
      <c r="AK34" s="37" t="inlineStr">
        <is>
          <t>https://condos.ca/toronto/n1-n2-cityplace-15-fort-york-blvd-15-brunel-crt/unit-1601-C13207458</t>
        </is>
      </c>
      <c r="AL34" s="37" t="inlineStr">
        <is>
          <t>Leased comp. Interior SF verified (condos.ca per-unit registered area), the 2026-06-16 pull (re-confirm on live page next run).</t>
        </is>
      </c>
      <c r="AM34" s="37" t="inlineStr">
        <is>
          <t>Condo</t>
        </is>
      </c>
      <c r="AN34" s="37">
        <f>IFERROR(E34*(1+IF(AM34="Apartment",Data_Summary!$C$3,0)),"")</f>
        <v/>
      </c>
      <c r="AO34" s="85" t="n">
        <v>46189</v>
      </c>
    </row>
    <row r="35" ht="15" customHeight="1" s="38">
      <c r="A35" s="37">
        <f>IF(AND(ISNUMBER(B35),B35&gt;0,ISNUMBER(AB35),AB35&gt;0,J35&gt;=Data_Summary!$C$1),1,0)</f>
        <v/>
      </c>
      <c r="B35" s="79" t="n">
        <v>914</v>
      </c>
      <c r="C35" s="37">
        <f>IF(ISNUMBER(AB35),AB35,"")</f>
        <v/>
      </c>
      <c r="D35" s="37">
        <f>IF(ISNUMBER(C35),C35-U35*Data_Summary!$C$2,"")</f>
        <v/>
      </c>
      <c r="E35" s="79">
        <f>IFERROR(C35/B35,"")</f>
        <v/>
      </c>
      <c r="F35" s="37">
        <f>IFERROR(D35/B35,"")</f>
        <v/>
      </c>
      <c r="G35" s="37">
        <f>Q35</f>
        <v/>
      </c>
      <c r="H35" s="37">
        <f>IFERROR(LEFT(G35,1),"")</f>
        <v/>
      </c>
      <c r="I35" s="37">
        <f>IF(LEN(G35)&gt;1,1,0)</f>
        <v/>
      </c>
      <c r="J35" s="80" t="n">
        <v>46182</v>
      </c>
      <c r="K35" s="37" t="inlineStr">
        <is>
          <t>N1 | N2 - CityPlace</t>
        </is>
      </c>
      <c r="L35" s="37" t="inlineStr">
        <is>
          <t>15 Fort York Blvd</t>
        </is>
      </c>
      <c r="M35" s="37" t="inlineStr">
        <is>
          <t>Toronto (CityPlace)</t>
        </is>
      </c>
      <c r="N35" s="37" t="n">
        <v>2008</v>
      </c>
      <c r="O35" s="37" t="inlineStr">
        <is>
          <t>1910</t>
        </is>
      </c>
      <c r="P35" s="37" t="inlineStr">
        <is>
          <t>1910 - 15 Fort York Blvd</t>
        </is>
      </c>
      <c r="Q35" s="37" t="inlineStr">
        <is>
          <t>2+1</t>
        </is>
      </c>
      <c r="R35" s="37" t="n">
        <v>2</v>
      </c>
      <c r="S35" s="37" t="n">
        <v>914</v>
      </c>
      <c r="U35" s="37" t="n">
        <v>1</v>
      </c>
      <c r="V35" s="37" t="inlineStr">
        <is>
          <t>Yes</t>
        </is>
      </c>
      <c r="Z35" s="37" t="inlineStr">
        <is>
          <t>Built 2008</t>
        </is>
      </c>
      <c r="AB35" s="59" t="n">
        <v>3900</v>
      </c>
      <c r="AC35" s="59" t="n">
        <v>3900</v>
      </c>
      <c r="AD35" s="37">
        <f>IFERROR(AB35/B35,"")</f>
        <v/>
      </c>
      <c r="AE35" s="37">
        <f>IFERROR(AC35/B35,"")</f>
        <v/>
      </c>
      <c r="AI35" s="37" t="inlineStr">
        <is>
          <t>2026-06-09</t>
        </is>
      </c>
      <c r="AJ35" s="37" t="inlineStr">
        <is>
          <t>C13226098</t>
        </is>
      </c>
      <c r="AK35" s="37" t="inlineStr">
        <is>
          <t>https://condos.ca/toronto/n1-n2-cityplace-15-fort-york-blvd-15-brunel-crt/unit-1910-C13226098</t>
        </is>
      </c>
      <c r="AL35" s="37" t="inlineStr">
        <is>
          <t>Leased comp. Interior SF verified (condos.ca per-unit registered area), the 2026-06-16 pull (re-confirm on live page next run).</t>
        </is>
      </c>
      <c r="AM35" s="37" t="inlineStr">
        <is>
          <t>Condo</t>
        </is>
      </c>
      <c r="AN35" s="37">
        <f>IFERROR(E35*(1+IF(AM35="Apartment",Data_Summary!$C$3,0)),"")</f>
        <v/>
      </c>
      <c r="AO35" s="85" t="n">
        <v>46189</v>
      </c>
    </row>
    <row r="36" ht="15" customHeight="1" s="38">
      <c r="A36" s="37">
        <f>IF(AND(ISNUMBER(B36),B36&gt;0,ISNUMBER(AB36),AB36&gt;0,J36&gt;=Data_Summary!$C$1),1,0)</f>
        <v/>
      </c>
      <c r="B36" s="79" t="n">
        <v>630</v>
      </c>
      <c r="C36" s="37">
        <f>IF(ISNUMBER(AB36),AB36,"")</f>
        <v/>
      </c>
      <c r="D36" s="37">
        <f>IF(ISNUMBER(C36),C36-U36*Data_Summary!$C$2,"")</f>
        <v/>
      </c>
      <c r="E36" s="79">
        <f>IFERROR(C36/B36,"")</f>
        <v/>
      </c>
      <c r="F36" s="37">
        <f>IFERROR(D36/B36,"")</f>
        <v/>
      </c>
      <c r="G36" s="37">
        <f>Q36</f>
        <v/>
      </c>
      <c r="H36" s="37">
        <f>IFERROR(LEFT(G36,1),"")</f>
        <v/>
      </c>
      <c r="I36" s="37">
        <f>IF(LEN(G36)&gt;1,1,0)</f>
        <v/>
      </c>
      <c r="J36" s="80" t="n">
        <v>46178</v>
      </c>
      <c r="K36" s="37" t="inlineStr">
        <is>
          <t>N1 | N2 - CityPlace</t>
        </is>
      </c>
      <c r="L36" s="37" t="inlineStr">
        <is>
          <t>15 Fort York Blvd</t>
        </is>
      </c>
      <c r="M36" s="37" t="inlineStr">
        <is>
          <t>Toronto (CityPlace)</t>
        </is>
      </c>
      <c r="N36" s="37" t="n">
        <v>2008</v>
      </c>
      <c r="O36" s="37" t="inlineStr">
        <is>
          <t>919</t>
        </is>
      </c>
      <c r="P36" s="37" t="inlineStr">
        <is>
          <t>919 - 15 Fort York Blvd</t>
        </is>
      </c>
      <c r="Q36" s="37" t="inlineStr">
        <is>
          <t>1</t>
        </is>
      </c>
      <c r="R36" s="37" t="n">
        <v>1</v>
      </c>
      <c r="S36" s="37" t="n">
        <v>630</v>
      </c>
      <c r="U36" s="37" t="n">
        <v>1</v>
      </c>
      <c r="V36" s="37" t="inlineStr">
        <is>
          <t>Yes</t>
        </is>
      </c>
      <c r="Z36" s="37" t="inlineStr">
        <is>
          <t>Built 2008</t>
        </is>
      </c>
      <c r="AB36" s="59" t="n">
        <v>2415</v>
      </c>
      <c r="AC36" s="59" t="n">
        <v>2500</v>
      </c>
      <c r="AD36" s="37">
        <f>IFERROR(AB36/B36,"")</f>
        <v/>
      </c>
      <c r="AE36" s="37">
        <f>IFERROR(AC36/B36,"")</f>
        <v/>
      </c>
      <c r="AI36" s="37" t="inlineStr">
        <is>
          <t>2026-06-05</t>
        </is>
      </c>
      <c r="AJ36" s="37" t="inlineStr">
        <is>
          <t>C13170188</t>
        </is>
      </c>
      <c r="AK36" s="37" t="inlineStr">
        <is>
          <t>https://condos.ca/toronto/n1-n2-cityplace-15-fort-york-blvd-15-brunel-crt/unit-919-C13170188</t>
        </is>
      </c>
      <c r="AL36" s="37" t="inlineStr">
        <is>
          <t>Leased comp. Interior SF verified (condos.ca per-unit registered area), the 2026-06-16 pull (re-confirm on live page next run).</t>
        </is>
      </c>
      <c r="AM36" s="37" t="inlineStr">
        <is>
          <t>Condo</t>
        </is>
      </c>
      <c r="AN36" s="37">
        <f>IFERROR(E36*(1+IF(AM36="Apartment",Data_Summary!$C$3,0)),"")</f>
        <v/>
      </c>
      <c r="AO36" s="85" t="n">
        <v>46189</v>
      </c>
    </row>
    <row r="37" ht="15" customHeight="1" s="38">
      <c r="A37" s="37">
        <f>IF(AND(ISNUMBER(B37),B37&gt;0,ISNUMBER(AB37),AB37&gt;0,J37&gt;=Data_Summary!$C$1),1,0)</f>
        <v/>
      </c>
      <c r="B37" s="79" t="n">
        <v>929</v>
      </c>
      <c r="C37" s="37">
        <f>IF(ISNUMBER(AB37),AB37,"")</f>
        <v/>
      </c>
      <c r="D37" s="37">
        <f>IF(ISNUMBER(C37),C37-U37*Data_Summary!$C$2,"")</f>
        <v/>
      </c>
      <c r="E37" s="79">
        <f>IFERROR(C37/B37,"")</f>
        <v/>
      </c>
      <c r="F37" s="37">
        <f>IFERROR(D37/B37,"")</f>
        <v/>
      </c>
      <c r="G37" s="37">
        <f>Q37</f>
        <v/>
      </c>
      <c r="H37" s="37">
        <f>IFERROR(LEFT(G37,1),"")</f>
        <v/>
      </c>
      <c r="I37" s="37">
        <f>IF(LEN(G37)&gt;1,1,0)</f>
        <v/>
      </c>
      <c r="J37" s="80" t="n">
        <v>46181</v>
      </c>
      <c r="K37" s="37" t="inlineStr">
        <is>
          <t>Aqua</t>
        </is>
      </c>
      <c r="L37" s="37" t="inlineStr">
        <is>
          <t>410 Queens Quay W</t>
        </is>
      </c>
      <c r="M37" s="37" t="inlineStr">
        <is>
          <t>Toronto (Waterfront)</t>
        </is>
      </c>
      <c r="N37" s="37" t="n">
        <v>2003</v>
      </c>
      <c r="O37" s="37" t="inlineStr">
        <is>
          <t>1103</t>
        </is>
      </c>
      <c r="P37" s="37" t="inlineStr">
        <is>
          <t>1103 - 410 Queens Quay W</t>
        </is>
      </c>
      <c r="Q37" s="37" t="inlineStr">
        <is>
          <t>2</t>
        </is>
      </c>
      <c r="R37" s="37" t="n">
        <v>2</v>
      </c>
      <c r="S37" s="37" t="n">
        <v>929</v>
      </c>
      <c r="U37" s="37" t="n">
        <v>1</v>
      </c>
      <c r="V37" s="37" t="inlineStr">
        <is>
          <t>Yes</t>
        </is>
      </c>
      <c r="Z37" s="37" t="inlineStr">
        <is>
          <t>Built 2003</t>
        </is>
      </c>
      <c r="AB37" s="59" t="n">
        <v>4000</v>
      </c>
      <c r="AC37" s="59" t="n">
        <v>3800</v>
      </c>
      <c r="AD37" s="37">
        <f>IFERROR(AB37/B37,"")</f>
        <v/>
      </c>
      <c r="AE37" s="37">
        <f>IFERROR(AC37/B37,"")</f>
        <v/>
      </c>
      <c r="AI37" s="37" t="inlineStr">
        <is>
          <t>2026-06-08</t>
        </is>
      </c>
      <c r="AJ37" s="37" t="inlineStr">
        <is>
          <t>C13230806</t>
        </is>
      </c>
      <c r="AK37" s="37" t="inlineStr">
        <is>
          <t>https://condos.ca/toronto/aqua-410-queens-quay-w/unit-1103-C13230806</t>
        </is>
      </c>
      <c r="AL37" s="37" t="inlineStr">
        <is>
          <t>Leased comp. Interior SF verified (condos.ca per-unit registered area), the 2026-06-16 pull (re-confirm on live page next run).</t>
        </is>
      </c>
      <c r="AM37" s="37" t="inlineStr">
        <is>
          <t>Condo</t>
        </is>
      </c>
      <c r="AN37" s="37">
        <f>IFERROR(E37*(1+IF(AM37="Apartment",Data_Summary!$C$3,0)),"")</f>
        <v/>
      </c>
      <c r="AO37" s="85" t="n">
        <v>46189</v>
      </c>
    </row>
    <row r="38" ht="15" customHeight="1" s="38">
      <c r="A38" s="37">
        <f>IF(AND(ISNUMBER(B38),B38&gt;0,ISNUMBER(AB38),AB38&gt;0,J38&gt;=Data_Summary!$C$1),1,0)</f>
        <v/>
      </c>
      <c r="B38" s="79" t="n">
        <v>842</v>
      </c>
      <c r="C38" s="37">
        <f>IF(ISNUMBER(AB38),AB38,"")</f>
        <v/>
      </c>
      <c r="D38" s="37">
        <f>IF(ISNUMBER(C38),C38-U38*Data_Summary!$C$2,"")</f>
        <v/>
      </c>
      <c r="E38" s="79">
        <f>IFERROR(C38/B38,"")</f>
        <v/>
      </c>
      <c r="F38" s="37">
        <f>IFERROR(D38/B38,"")</f>
        <v/>
      </c>
      <c r="G38" s="37">
        <f>Q38</f>
        <v/>
      </c>
      <c r="H38" s="37">
        <f>IFERROR(LEFT(G38,1),"")</f>
        <v/>
      </c>
      <c r="I38" s="37">
        <f>IF(LEN(G38)&gt;1,1,0)</f>
        <v/>
      </c>
      <c r="J38" s="80" t="n">
        <v>46161</v>
      </c>
      <c r="K38" s="37" t="inlineStr">
        <is>
          <t>Aqua</t>
        </is>
      </c>
      <c r="L38" s="37" t="inlineStr">
        <is>
          <t>410 Queens Quay W</t>
        </is>
      </c>
      <c r="M38" s="37" t="inlineStr">
        <is>
          <t>Toronto (Waterfront)</t>
        </is>
      </c>
      <c r="N38" s="37" t="n">
        <v>2003</v>
      </c>
      <c r="O38" s="37" t="inlineStr">
        <is>
          <t>509</t>
        </is>
      </c>
      <c r="P38" s="37" t="inlineStr">
        <is>
          <t>509 - 410 Queens Quay W</t>
        </is>
      </c>
      <c r="Q38" s="37" t="inlineStr">
        <is>
          <t>2</t>
        </is>
      </c>
      <c r="R38" s="37" t="n">
        <v>1</v>
      </c>
      <c r="S38" s="37" t="n">
        <v>842</v>
      </c>
      <c r="U38" s="37" t="n">
        <v>2</v>
      </c>
      <c r="V38" s="37" t="inlineStr">
        <is>
          <t>Yes</t>
        </is>
      </c>
      <c r="Z38" s="37" t="inlineStr">
        <is>
          <t>Built 2003</t>
        </is>
      </c>
      <c r="AB38" s="59" t="n">
        <v>3450</v>
      </c>
      <c r="AC38" s="59" t="n">
        <v>3500</v>
      </c>
      <c r="AD38" s="37">
        <f>IFERROR(AB38/B38,"")</f>
        <v/>
      </c>
      <c r="AE38" s="37">
        <f>IFERROR(AC38/B38,"")</f>
        <v/>
      </c>
      <c r="AI38" s="37" t="inlineStr">
        <is>
          <t>2026-05-19</t>
        </is>
      </c>
      <c r="AJ38" s="37" t="inlineStr">
        <is>
          <t>C13136720</t>
        </is>
      </c>
      <c r="AK38" s="37" t="inlineStr">
        <is>
          <t>https://condos.ca/toronto/aqua-410-queens-quay-w/unit-509-C13136720</t>
        </is>
      </c>
      <c r="AL38" s="37" t="inlineStr">
        <is>
          <t>Leased comp. Interior SF verified (condos.ca per-unit registered area), the 2026-06-16 pull (re-confirm on live page next run).</t>
        </is>
      </c>
      <c r="AM38" s="37" t="inlineStr">
        <is>
          <t>Condo</t>
        </is>
      </c>
      <c r="AN38" s="37">
        <f>IFERROR(E38*(1+IF(AM38="Apartment",Data_Summary!$C$3,0)),"")</f>
        <v/>
      </c>
      <c r="AO38" s="85" t="n">
        <v>46189</v>
      </c>
    </row>
    <row r="39" ht="15" customHeight="1" s="38">
      <c r="A39" s="37">
        <f>IF(AND(ISNUMBER(B39),B39&gt;0,ISNUMBER(AB39),AB39&gt;0,J39&gt;=Data_Summary!$C$1),1,0)</f>
        <v/>
      </c>
      <c r="B39" s="79" t="n">
        <v>840</v>
      </c>
      <c r="C39" s="37">
        <f>IF(ISNUMBER(AB39),AB39,"")</f>
        <v/>
      </c>
      <c r="D39" s="37">
        <f>IF(ISNUMBER(C39),C39-U39*Data_Summary!$C$2,"")</f>
        <v/>
      </c>
      <c r="E39" s="79">
        <f>IFERROR(C39/B39,"")</f>
        <v/>
      </c>
      <c r="F39" s="37">
        <f>IFERROR(D39/B39,"")</f>
        <v/>
      </c>
      <c r="G39" s="37">
        <f>Q39</f>
        <v/>
      </c>
      <c r="H39" s="37">
        <f>IFERROR(LEFT(G39,1),"")</f>
        <v/>
      </c>
      <c r="I39" s="37">
        <f>IF(LEN(G39)&gt;1,1,0)</f>
        <v/>
      </c>
      <c r="J39" s="80" t="n">
        <v>46143</v>
      </c>
      <c r="K39" s="37" t="inlineStr">
        <is>
          <t>Aqua</t>
        </is>
      </c>
      <c r="L39" s="37" t="inlineStr">
        <is>
          <t>410 Queens Quay W</t>
        </is>
      </c>
      <c r="M39" s="37" t="inlineStr">
        <is>
          <t>Toronto (Waterfront)</t>
        </is>
      </c>
      <c r="N39" s="37" t="n">
        <v>2003</v>
      </c>
      <c r="O39" s="37" t="inlineStr">
        <is>
          <t>1017</t>
        </is>
      </c>
      <c r="P39" s="37" t="inlineStr">
        <is>
          <t>1017 - 410 Queens Quay W</t>
        </is>
      </c>
      <c r="Q39" s="37" t="inlineStr">
        <is>
          <t>2</t>
        </is>
      </c>
      <c r="R39" s="37" t="n">
        <v>1</v>
      </c>
      <c r="S39" s="37" t="n">
        <v>840</v>
      </c>
      <c r="U39" s="37" t="n">
        <v>1</v>
      </c>
      <c r="V39" s="37" t="inlineStr">
        <is>
          <t>Yes</t>
        </is>
      </c>
      <c r="Z39" s="37" t="inlineStr">
        <is>
          <t>Built 2003</t>
        </is>
      </c>
      <c r="AB39" s="59" t="n">
        <v>3000</v>
      </c>
      <c r="AC39" s="59" t="n">
        <v>3000</v>
      </c>
      <c r="AD39" s="37">
        <f>IFERROR(AB39/B39,"")</f>
        <v/>
      </c>
      <c r="AE39" s="37">
        <f>IFERROR(AC39/B39,"")</f>
        <v/>
      </c>
      <c r="AI39" s="37" t="inlineStr">
        <is>
          <t>2026-05-01</t>
        </is>
      </c>
      <c r="AJ39" s="37" t="inlineStr">
        <is>
          <t>C13032848</t>
        </is>
      </c>
      <c r="AK39" s="37" t="inlineStr">
        <is>
          <t>https://condos.ca/toronto/aqua-410-queens-quay-w/unit-1017-C13032848</t>
        </is>
      </c>
      <c r="AL39" s="37" t="inlineStr">
        <is>
          <t>Leased comp. Interior SF verified (condos.ca per-unit registered area), the 2026-06-16 pull (re-confirm on live page next run).</t>
        </is>
      </c>
      <c r="AM39" s="37" t="inlineStr">
        <is>
          <t>Condo</t>
        </is>
      </c>
      <c r="AN39" s="37">
        <f>IFERROR(E39*(1+IF(AM39="Apartment",Data_Summary!$C$3,0)),"")</f>
        <v/>
      </c>
      <c r="AO39" s="85" t="n">
        <v>46189</v>
      </c>
    </row>
    <row r="40" ht="15" customHeight="1" s="38">
      <c r="A40" s="37">
        <f>IF(AND(ISNUMBER(B40),B40&gt;0,ISNUMBER(AB40),AB40&gt;0,J40&gt;=Data_Summary!$C$1),1,0)</f>
        <v/>
      </c>
      <c r="B40" s="79" t="n">
        <v>562</v>
      </c>
      <c r="C40" s="37">
        <f>IF(ISNUMBER(AB40),AB40,"")</f>
        <v/>
      </c>
      <c r="D40" s="37">
        <f>IF(ISNUMBER(C40),C40-U40*Data_Summary!$C$2,"")</f>
        <v/>
      </c>
      <c r="E40" s="79">
        <f>IFERROR(C40/B40,"")</f>
        <v/>
      </c>
      <c r="F40" s="37">
        <f>IFERROR(D40/B40,"")</f>
        <v/>
      </c>
      <c r="G40" s="37">
        <f>Q40</f>
        <v/>
      </c>
      <c r="H40" s="37">
        <f>IFERROR(LEFT(G40,1),"")</f>
        <v/>
      </c>
      <c r="I40" s="37">
        <f>IF(LEN(G40)&gt;1,1,0)</f>
        <v/>
      </c>
      <c r="J40" s="80" t="n">
        <v>46115</v>
      </c>
      <c r="K40" s="37" t="inlineStr">
        <is>
          <t>Aqua</t>
        </is>
      </c>
      <c r="L40" s="37" t="inlineStr">
        <is>
          <t>410 Queens Quay W</t>
        </is>
      </c>
      <c r="M40" s="37" t="inlineStr">
        <is>
          <t>Toronto (Waterfront)</t>
        </is>
      </c>
      <c r="N40" s="37" t="n">
        <v>2003</v>
      </c>
      <c r="O40" s="37" t="inlineStr">
        <is>
          <t>605</t>
        </is>
      </c>
      <c r="P40" s="37" t="inlineStr">
        <is>
          <t>605 - 410 Queens Quay W</t>
        </is>
      </c>
      <c r="Q40" s="37" t="inlineStr">
        <is>
          <t>1</t>
        </is>
      </c>
      <c r="R40" s="37" t="n">
        <v>1</v>
      </c>
      <c r="S40" s="37" t="n">
        <v>562</v>
      </c>
      <c r="U40" s="37" t="n">
        <v>0</v>
      </c>
      <c r="V40" s="37" t="inlineStr">
        <is>
          <t>No</t>
        </is>
      </c>
      <c r="Z40" s="37" t="inlineStr">
        <is>
          <t>Built 2003</t>
        </is>
      </c>
      <c r="AB40" s="59" t="n">
        <v>2030</v>
      </c>
      <c r="AC40" s="59" t="n">
        <v>2030</v>
      </c>
      <c r="AD40" s="37">
        <f>IFERROR(AB40/B40,"")</f>
        <v/>
      </c>
      <c r="AE40" s="37">
        <f>IFERROR(AC40/B40,"")</f>
        <v/>
      </c>
      <c r="AI40" s="37" t="inlineStr">
        <is>
          <t>2026-04-03</t>
        </is>
      </c>
      <c r="AJ40" s="37" t="inlineStr">
        <is>
          <t>C12929788</t>
        </is>
      </c>
      <c r="AK40" s="37" t="inlineStr">
        <is>
          <t>https://condos.ca/toronto/aqua-410-queens-quay-w/unit-605-C12929788</t>
        </is>
      </c>
      <c r="AL40" s="37" t="inlineStr">
        <is>
          <t>Leased comp. Interior SF verified (condos.ca per-unit registered area), the 2026-06-16 pull (re-confirm on live page next run).</t>
        </is>
      </c>
      <c r="AM40" s="37" t="inlineStr">
        <is>
          <t>Condo</t>
        </is>
      </c>
      <c r="AN40" s="37">
        <f>IFERROR(E40*(1+IF(AM40="Apartment",Data_Summary!$C$3,0)),"")</f>
        <v/>
      </c>
      <c r="AO40" s="85" t="n">
        <v>46189</v>
      </c>
    </row>
    <row r="41" ht="15" customHeight="1" s="38">
      <c r="A41" s="37">
        <f>IF(AND(ISNUMBER(B41),B41&gt;0,ISNUMBER(AB41),AB41&gt;0,J41&gt;=Data_Summary!$C$1),1,0)</f>
        <v/>
      </c>
      <c r="B41" s="82" t="n"/>
      <c r="C41" s="37">
        <f>IF(ISNUMBER(AB41),AB41,"")</f>
        <v/>
      </c>
      <c r="D41" s="37">
        <f>IF(ISNUMBER(C41),C41-U41*Data_Summary!$C$2,"")</f>
        <v/>
      </c>
      <c r="E41" s="82">
        <f>IFERROR(C41/B41,"")</f>
        <v/>
      </c>
      <c r="F41" s="37">
        <f>IFERROR(D41/B41,"")</f>
        <v/>
      </c>
      <c r="G41" s="37">
        <f>Q41</f>
        <v/>
      </c>
      <c r="H41" s="37">
        <f>IFERROR(LEFT(G41,1),"")</f>
        <v/>
      </c>
      <c r="I41" s="37">
        <f>IF(LEN(G41)&gt;1,1,0)</f>
        <v/>
      </c>
      <c r="J41" s="80" t="n">
        <v>46183</v>
      </c>
      <c r="K41" s="37" t="inlineStr">
        <is>
          <t>Quartz/Spectra</t>
        </is>
      </c>
      <c r="L41" s="37" t="inlineStr">
        <is>
          <t>75-85 Queens Wharf Rd</t>
        </is>
      </c>
      <c r="M41" s="37" t="inlineStr">
        <is>
          <t>Toronto (CityPlace)</t>
        </is>
      </c>
      <c r="N41" s="37" t="n">
        <v>2015</v>
      </c>
      <c r="O41" s="37" t="inlineStr">
        <is>
          <t>4606</t>
        </is>
      </c>
      <c r="P41" s="37" t="inlineStr">
        <is>
          <t>4606 - 75-85 Queens Wharf Rd</t>
        </is>
      </c>
      <c r="Q41" s="37" t="inlineStr">
        <is>
          <t>3</t>
        </is>
      </c>
      <c r="R41" s="37" t="n">
        <v>2</v>
      </c>
      <c r="T41" s="37" t="inlineStr">
        <is>
          <t>1000-1199 sqft</t>
        </is>
      </c>
      <c r="U41" s="37" t="n">
        <v>1</v>
      </c>
      <c r="V41" s="37" t="inlineStr">
        <is>
          <t>Yes</t>
        </is>
      </c>
      <c r="Z41" s="37" t="inlineStr">
        <is>
          <t>Built 2015</t>
        </is>
      </c>
      <c r="AB41" s="59" t="n">
        <v>4100</v>
      </c>
      <c r="AC41" s="59" t="n">
        <v>4300</v>
      </c>
      <c r="AD41" s="37">
        <f>IFERROR(AB41/B41,"")</f>
        <v/>
      </c>
      <c r="AE41" s="37">
        <f>IFERROR(AC41/B41,"")</f>
        <v/>
      </c>
      <c r="AI41" s="37" t="inlineStr">
        <is>
          <t>2026-06-10</t>
        </is>
      </c>
      <c r="AJ41" s="37" t="inlineStr">
        <is>
          <t>C13220706</t>
        </is>
      </c>
      <c r="AK41" s="37" t="inlineStr">
        <is>
          <t>https://condos.ca/toronto/quartz-spectra-75-queens-wharf-rd-85-queens-wharf-rd/unit-4606-C13220706</t>
        </is>
      </c>
      <c r="AL41" s="37" t="inlineStr">
        <is>
          <t>SF bracket-only on condos.ca (no registered area) — excluded from $/SF.</t>
        </is>
      </c>
      <c r="AM41" s="37" t="inlineStr">
        <is>
          <t>Condo</t>
        </is>
      </c>
      <c r="AN41" s="37">
        <f>IFERROR(E41*(1+IF(AM41="Apartment",Data_Summary!$C$3,0)),"")</f>
        <v/>
      </c>
      <c r="AO41" s="85" t="n">
        <v>46189</v>
      </c>
    </row>
    <row r="42" ht="15" customHeight="1" s="38">
      <c r="A42" s="37">
        <f>IF(AND(ISNUMBER(B42),B42&gt;0,ISNUMBER(AB42),AB42&gt;0,J42&gt;=Data_Summary!$C$1),1,0)</f>
        <v/>
      </c>
      <c r="B42" s="82" t="n"/>
      <c r="C42" s="37">
        <f>IF(ISNUMBER(AB42),AB42,"")</f>
        <v/>
      </c>
      <c r="D42" s="37">
        <f>IF(ISNUMBER(C42),C42-U42*Data_Summary!$C$2,"")</f>
        <v/>
      </c>
      <c r="E42" s="82">
        <f>IFERROR(C42/B42,"")</f>
        <v/>
      </c>
      <c r="F42" s="37">
        <f>IFERROR(D42/B42,"")</f>
        <v/>
      </c>
      <c r="G42" s="37">
        <f>Q42</f>
        <v/>
      </c>
      <c r="H42" s="37">
        <f>IFERROR(LEFT(G42,1),"")</f>
        <v/>
      </c>
      <c r="I42" s="37">
        <f>IF(LEN(G42)&gt;1,1,0)</f>
        <v/>
      </c>
      <c r="J42" s="80" t="n">
        <v>46181</v>
      </c>
      <c r="K42" s="37" t="inlineStr">
        <is>
          <t>Quartz/Spectra</t>
        </is>
      </c>
      <c r="L42" s="37" t="inlineStr">
        <is>
          <t>75-85 Queens Wharf Rd</t>
        </is>
      </c>
      <c r="M42" s="37" t="inlineStr">
        <is>
          <t>Toronto (CityPlace)</t>
        </is>
      </c>
      <c r="N42" s="37" t="n">
        <v>2015</v>
      </c>
      <c r="O42" s="37" t="inlineStr">
        <is>
          <t>2512</t>
        </is>
      </c>
      <c r="P42" s="37" t="inlineStr">
        <is>
          <t>2512 - 75-85 Queens Wharf Rd</t>
        </is>
      </c>
      <c r="Q42" s="37" t="inlineStr">
        <is>
          <t>2</t>
        </is>
      </c>
      <c r="R42" s="37" t="n">
        <v>2</v>
      </c>
      <c r="T42" s="37" t="inlineStr">
        <is>
          <t>800-899 sqft</t>
        </is>
      </c>
      <c r="U42" s="37" t="n">
        <v>1</v>
      </c>
      <c r="V42" s="37" t="inlineStr">
        <is>
          <t>Yes</t>
        </is>
      </c>
      <c r="Z42" s="37" t="inlineStr">
        <is>
          <t>Built 2015</t>
        </is>
      </c>
      <c r="AB42" s="59" t="n">
        <v>3500</v>
      </c>
      <c r="AC42" s="59" t="n">
        <v>3500</v>
      </c>
      <c r="AD42" s="37">
        <f>IFERROR(AB42/B42,"")</f>
        <v/>
      </c>
      <c r="AE42" s="37">
        <f>IFERROR(AC42/B42,"")</f>
        <v/>
      </c>
      <c r="AI42" s="37" t="inlineStr">
        <is>
          <t>2026-06-08</t>
        </is>
      </c>
      <c r="AJ42" s="37" t="inlineStr">
        <is>
          <t>C13226480</t>
        </is>
      </c>
      <c r="AK42" s="37" t="inlineStr">
        <is>
          <t>https://condos.ca/toronto/quartz-spectra-75-queens-wharf-rd-85-queens-wharf-rd/unit-2512-C13226480</t>
        </is>
      </c>
      <c r="AL42" s="37" t="inlineStr">
        <is>
          <t>SF bracket-only on condos.ca — excluded from $/SF.</t>
        </is>
      </c>
      <c r="AM42" s="37" t="inlineStr">
        <is>
          <t>Condo</t>
        </is>
      </c>
      <c r="AN42" s="37">
        <f>IFERROR(E42*(1+IF(AM42="Apartment",Data_Summary!$C$3,0)),"")</f>
        <v/>
      </c>
      <c r="AO42" s="85" t="n">
        <v>46189</v>
      </c>
    </row>
    <row r="43" ht="15" customHeight="1" s="38">
      <c r="A43" s="37">
        <f>IF(AND(ISNUMBER(B43),B43&gt;0,ISNUMBER(AB43),AB43&gt;0,J43&gt;=Data_Summary!$C$1),1,0)</f>
        <v/>
      </c>
      <c r="B43" s="82" t="n"/>
      <c r="C43" s="37">
        <f>IF(ISNUMBER(AB43),AB43,"")</f>
        <v/>
      </c>
      <c r="D43" s="37">
        <f>IF(ISNUMBER(C43),C43-U43*Data_Summary!$C$2,"")</f>
        <v/>
      </c>
      <c r="E43" s="82">
        <f>IFERROR(C43/B43,"")</f>
        <v/>
      </c>
      <c r="F43" s="37">
        <f>IFERROR(D43/B43,"")</f>
        <v/>
      </c>
      <c r="G43" s="37">
        <f>Q43</f>
        <v/>
      </c>
      <c r="H43" s="37">
        <f>IFERROR(LEFT(G43,1),"")</f>
        <v/>
      </c>
      <c r="I43" s="37">
        <f>IF(LEN(G43)&gt;1,1,0)</f>
        <v/>
      </c>
      <c r="J43" s="80" t="n">
        <v>46178</v>
      </c>
      <c r="K43" s="37" t="inlineStr">
        <is>
          <t>Quartz/Spectra</t>
        </is>
      </c>
      <c r="L43" s="37" t="inlineStr">
        <is>
          <t>75-85 Queens Wharf Rd</t>
        </is>
      </c>
      <c r="M43" s="37" t="inlineStr">
        <is>
          <t>Toronto (CityPlace)</t>
        </is>
      </c>
      <c r="N43" s="37" t="n">
        <v>2015</v>
      </c>
      <c r="O43" s="37" t="inlineStr">
        <is>
          <t>815</t>
        </is>
      </c>
      <c r="P43" s="37" t="inlineStr">
        <is>
          <t>815 - 75-85 Queens Wharf Rd</t>
        </is>
      </c>
      <c r="Q43" s="37" t="inlineStr">
        <is>
          <t>2</t>
        </is>
      </c>
      <c r="R43" s="37" t="n">
        <v>2</v>
      </c>
      <c r="T43" s="37" t="inlineStr">
        <is>
          <t>800-899 sqft</t>
        </is>
      </c>
      <c r="U43" s="37" t="n">
        <v>0</v>
      </c>
      <c r="V43" s="37" t="inlineStr">
        <is>
          <t>No</t>
        </is>
      </c>
      <c r="Z43" s="37" t="inlineStr">
        <is>
          <t>Built 2015</t>
        </is>
      </c>
      <c r="AB43" s="59" t="n">
        <v>3200</v>
      </c>
      <c r="AC43" s="59" t="n">
        <v>3200</v>
      </c>
      <c r="AD43" s="37">
        <f>IFERROR(AB43/B43,"")</f>
        <v/>
      </c>
      <c r="AE43" s="37">
        <f>IFERROR(AC43/B43,"")</f>
        <v/>
      </c>
      <c r="AI43" s="37" t="inlineStr">
        <is>
          <t>2026-06-05</t>
        </is>
      </c>
      <c r="AJ43" s="37" t="inlineStr">
        <is>
          <t>C13135762</t>
        </is>
      </c>
      <c r="AK43" s="37" t="inlineStr">
        <is>
          <t>https://condos.ca/toronto/quartz-spectra-75-queens-wharf-rd-85-queens-wharf-rd/unit-815-C13135762</t>
        </is>
      </c>
      <c r="AL43" s="37" t="inlineStr">
        <is>
          <t>SF bracket-only on condos.ca — excluded from $/SF.</t>
        </is>
      </c>
      <c r="AM43" s="37" t="inlineStr">
        <is>
          <t>Condo</t>
        </is>
      </c>
      <c r="AN43" s="37">
        <f>IFERROR(E43*(1+IF(AM43="Apartment",Data_Summary!$C$3,0)),"")</f>
        <v/>
      </c>
      <c r="AO43" s="85" t="n">
        <v>46189</v>
      </c>
    </row>
    <row r="44" ht="15" customHeight="1" s="38">
      <c r="A44" s="37">
        <f>IF(AND(ISNUMBER(B44),B44&gt;0,ISNUMBER(AB44),AB44&gt;0,J44&gt;=Data_Summary!$C$1),1,0)</f>
        <v/>
      </c>
      <c r="B44" s="82" t="n"/>
      <c r="C44" s="37">
        <f>IF(ISNUMBER(AB44),AB44,"")</f>
        <v/>
      </c>
      <c r="D44" s="37">
        <f>IF(ISNUMBER(C44),C44-U44*Data_Summary!$C$2,"")</f>
        <v/>
      </c>
      <c r="E44" s="82">
        <f>IFERROR(C44/B44,"")</f>
        <v/>
      </c>
      <c r="F44" s="37">
        <f>IFERROR(D44/B44,"")</f>
        <v/>
      </c>
      <c r="G44" s="37">
        <f>Q44</f>
        <v/>
      </c>
      <c r="H44" s="37">
        <f>IFERROR(LEFT(G44,1),"")</f>
        <v/>
      </c>
      <c r="I44" s="37">
        <f>IF(LEN(G44)&gt;1,1,0)</f>
        <v/>
      </c>
      <c r="J44" s="80" t="n">
        <v>46184</v>
      </c>
      <c r="K44" s="37" t="inlineStr">
        <is>
          <t>Quartz/Spectra</t>
        </is>
      </c>
      <c r="L44" s="37" t="inlineStr">
        <is>
          <t>75-85 Queens Wharf Rd</t>
        </is>
      </c>
      <c r="M44" s="37" t="inlineStr">
        <is>
          <t>Toronto (CityPlace)</t>
        </is>
      </c>
      <c r="N44" s="37" t="n">
        <v>2015</v>
      </c>
      <c r="O44" s="37" t="inlineStr">
        <is>
          <t>2703</t>
        </is>
      </c>
      <c r="P44" s="37" t="inlineStr">
        <is>
          <t>2703 - 75-85 Queens Wharf Rd</t>
        </is>
      </c>
      <c r="Q44" s="37" t="inlineStr">
        <is>
          <t>1+1</t>
        </is>
      </c>
      <c r="R44" s="37" t="n">
        <v>1</v>
      </c>
      <c r="T44" s="37" t="inlineStr">
        <is>
          <t>600-699 sqft</t>
        </is>
      </c>
      <c r="U44" s="37" t="n">
        <v>1</v>
      </c>
      <c r="V44" s="37" t="inlineStr">
        <is>
          <t>Yes</t>
        </is>
      </c>
      <c r="Z44" s="37" t="inlineStr">
        <is>
          <t>Built 2015</t>
        </is>
      </c>
      <c r="AB44" s="59" t="n">
        <v>2700</v>
      </c>
      <c r="AC44" s="59" t="n">
        <v>2650</v>
      </c>
      <c r="AD44" s="37">
        <f>IFERROR(AB44/B44,"")</f>
        <v/>
      </c>
      <c r="AE44" s="37">
        <f>IFERROR(AC44/B44,"")</f>
        <v/>
      </c>
      <c r="AI44" s="37" t="inlineStr">
        <is>
          <t>2026-06-11</t>
        </is>
      </c>
      <c r="AJ44" s="37" t="inlineStr">
        <is>
          <t>C13422922</t>
        </is>
      </c>
      <c r="AK44" s="37" t="inlineStr">
        <is>
          <t>https://condos.ca/toronto/quartz-spectra-75-queens-wharf-rd-85-queens-wharf-rd/unit-2703-C13422922</t>
        </is>
      </c>
      <c r="AL44" s="37" t="inlineStr">
        <is>
          <t>SF bracket-only on condos.ca — excluded from $/SF.</t>
        </is>
      </c>
      <c r="AM44" s="37" t="inlineStr">
        <is>
          <t>Condo</t>
        </is>
      </c>
      <c r="AN44" s="37">
        <f>IFERROR(E44*(1+IF(AM44="Apartment",Data_Summary!$C$3,0)),"")</f>
        <v/>
      </c>
      <c r="AO44" s="85" t="n">
        <v>46189</v>
      </c>
    </row>
    <row r="45" ht="15" customHeight="1" s="38">
      <c r="A45" s="37">
        <f>IF(AND(ISNUMBER(B45),B45&gt;0,ISNUMBER(AB45),AB45&gt;0,J45&gt;=Data_Summary!$C$1),1,0)</f>
        <v/>
      </c>
      <c r="B45" s="82" t="n"/>
      <c r="C45" s="37">
        <f>IF(ISNUMBER(AB45),AB45,"")</f>
        <v/>
      </c>
      <c r="D45" s="37">
        <f>IF(ISNUMBER(C45),C45-U45*Data_Summary!$C$2,"")</f>
        <v/>
      </c>
      <c r="E45" s="82">
        <f>IFERROR(C45/B45,"")</f>
        <v/>
      </c>
      <c r="F45" s="37">
        <f>IFERROR(D45/B45,"")</f>
        <v/>
      </c>
      <c r="G45" s="37">
        <f>Q45</f>
        <v/>
      </c>
      <c r="H45" s="37">
        <f>IFERROR(LEFT(G45,1),"")</f>
        <v/>
      </c>
      <c r="I45" s="37">
        <f>IF(LEN(G45)&gt;1,1,0)</f>
        <v/>
      </c>
      <c r="J45" s="80" t="n">
        <v>46182</v>
      </c>
      <c r="K45" s="37" t="inlineStr">
        <is>
          <t>Quartz/Spectra</t>
        </is>
      </c>
      <c r="L45" s="37" t="inlineStr">
        <is>
          <t>75-85 Queens Wharf Rd</t>
        </is>
      </c>
      <c r="M45" s="37" t="inlineStr">
        <is>
          <t>Toronto (CityPlace)</t>
        </is>
      </c>
      <c r="N45" s="37" t="n">
        <v>2015</v>
      </c>
      <c r="O45" s="37" t="inlineStr">
        <is>
          <t>2610</t>
        </is>
      </c>
      <c r="P45" s="37" t="inlineStr">
        <is>
          <t>2610 - 75-85 Queens Wharf Rd</t>
        </is>
      </c>
      <c r="Q45" s="37" t="inlineStr">
        <is>
          <t>1</t>
        </is>
      </c>
      <c r="R45" s="37" t="n">
        <v>1</v>
      </c>
      <c r="T45" s="37" t="inlineStr">
        <is>
          <t>500-599 sqft</t>
        </is>
      </c>
      <c r="U45" s="37" t="n">
        <v>0</v>
      </c>
      <c r="V45" s="37" t="inlineStr">
        <is>
          <t>No</t>
        </is>
      </c>
      <c r="Z45" s="37" t="inlineStr">
        <is>
          <t>Built 2015</t>
        </is>
      </c>
      <c r="AB45" s="59" t="n">
        <v>2300</v>
      </c>
      <c r="AC45" s="59" t="n">
        <v>2300</v>
      </c>
      <c r="AD45" s="37">
        <f>IFERROR(AB45/B45,"")</f>
        <v/>
      </c>
      <c r="AE45" s="37">
        <f>IFERROR(AC45/B45,"")</f>
        <v/>
      </c>
      <c r="AI45" s="37" t="inlineStr">
        <is>
          <t>2026-06-09</t>
        </is>
      </c>
      <c r="AJ45" s="37" t="inlineStr">
        <is>
          <t>C13225468</t>
        </is>
      </c>
      <c r="AK45" s="37" t="inlineStr">
        <is>
          <t>https://condos.ca/toronto/quartz-spectra-75-queens-wharf-rd-85-queens-wharf-rd/unit-2610-C13225468</t>
        </is>
      </c>
      <c r="AL45" s="37" t="inlineStr">
        <is>
          <t>SF bracket-only on condos.ca — excluded from $/SF.</t>
        </is>
      </c>
      <c r="AM45" s="37" t="inlineStr">
        <is>
          <t>Condo</t>
        </is>
      </c>
      <c r="AN45" s="37">
        <f>IFERROR(E45*(1+IF(AM45="Apartment",Data_Summary!$C$3,0)),"")</f>
        <v/>
      </c>
      <c r="AO45" s="85" t="n">
        <v>46189</v>
      </c>
    </row>
    <row r="46" ht="15" customHeight="1" s="38">
      <c r="A46" s="37">
        <f>IF(AND(ISNUMBER(B46),B46&gt;0,ISNUMBER(AB46),AB46&gt;0,J46&gt;=Data_Summary!$C$1),1,0)</f>
        <v/>
      </c>
      <c r="B46" s="82" t="n"/>
      <c r="C46" s="37">
        <f>IF(ISNUMBER(AB46),AB46,"")</f>
        <v/>
      </c>
      <c r="D46" s="37">
        <f>IF(ISNUMBER(C46),C46-U46*Data_Summary!$C$2,"")</f>
        <v/>
      </c>
      <c r="E46" s="82">
        <f>IFERROR(C46/B46,"")</f>
        <v/>
      </c>
      <c r="F46" s="37">
        <f>IFERROR(D46/B46,"")</f>
        <v/>
      </c>
      <c r="G46" s="37">
        <f>Q46</f>
        <v/>
      </c>
      <c r="H46" s="37">
        <f>IFERROR(LEFT(G46,1),"")</f>
        <v/>
      </c>
      <c r="I46" s="37">
        <f>IF(LEN(G46)&gt;1,1,0)</f>
        <v/>
      </c>
      <c r="J46" s="80" t="n">
        <v>46188</v>
      </c>
      <c r="K46" s="37" t="inlineStr">
        <is>
          <t>The Well</t>
        </is>
      </c>
      <c r="L46" s="37" t="inlineStr">
        <is>
          <t>470-480 Front St W</t>
        </is>
      </c>
      <c r="M46" s="37" t="inlineStr">
        <is>
          <t>Toronto (King West)</t>
        </is>
      </c>
      <c r="N46" s="37" t="n">
        <v>2024</v>
      </c>
      <c r="O46" s="37" t="inlineStr">
        <is>
          <t>1508</t>
        </is>
      </c>
      <c r="P46" s="37" t="inlineStr">
        <is>
          <t>1508 - 470-480 Front St W</t>
        </is>
      </c>
      <c r="Q46" s="37" t="inlineStr">
        <is>
          <t>1+1</t>
        </is>
      </c>
      <c r="R46" s="37" t="n">
        <v>1</v>
      </c>
      <c r="T46" s="37" t="inlineStr">
        <is>
          <t>500-599 sqft</t>
        </is>
      </c>
      <c r="U46" s="37" t="n">
        <v>0</v>
      </c>
      <c r="V46" s="37" t="inlineStr">
        <is>
          <t>No</t>
        </is>
      </c>
      <c r="Z46" s="37" t="inlineStr">
        <is>
          <t>Built 2024</t>
        </is>
      </c>
      <c r="AB46" s="59" t="n">
        <v>2750</v>
      </c>
      <c r="AC46" s="59" t="n">
        <v>2750</v>
      </c>
      <c r="AD46" s="37">
        <f>IFERROR(AB46/B46,"")</f>
        <v/>
      </c>
      <c r="AE46" s="37">
        <f>IFERROR(AC46/B46,"")</f>
        <v/>
      </c>
      <c r="AI46" s="37" t="inlineStr">
        <is>
          <t>2026-06-15</t>
        </is>
      </c>
      <c r="AJ46" s="37" t="inlineStr">
        <is>
          <t>C13139418</t>
        </is>
      </c>
      <c r="AK46" s="37" t="inlineStr">
        <is>
          <t>https://condos.ca/toronto/the-well-455-480-front-st-w-455-wellington-st-w/unit-1508-C13139418</t>
        </is>
      </c>
      <c r="AL46" s="37" t="inlineStr">
        <is>
          <t>SF bracket-only on condos.ca (new bldg) — excluded from $/SF.</t>
        </is>
      </c>
      <c r="AM46" s="37" t="inlineStr">
        <is>
          <t>Condo</t>
        </is>
      </c>
      <c r="AN46" s="37">
        <f>IFERROR(E46*(1+IF(AM46="Apartment",Data_Summary!$C$3,0)),"")</f>
        <v/>
      </c>
      <c r="AO46" s="85" t="n">
        <v>46189</v>
      </c>
    </row>
    <row r="47" ht="15" customHeight="1" s="38">
      <c r="A47" s="37">
        <f>IF(AND(ISNUMBER(B47),B47&gt;0,ISNUMBER(AB47),AB47&gt;0,J47&gt;=Data_Summary!$C$1),1,0)</f>
        <v/>
      </c>
      <c r="B47" s="82" t="n"/>
      <c r="C47" s="37">
        <f>IF(ISNUMBER(AB47),AB47,"")</f>
        <v/>
      </c>
      <c r="D47" s="37">
        <f>IF(ISNUMBER(C47),C47-U47*Data_Summary!$C$2,"")</f>
        <v/>
      </c>
      <c r="E47" s="82">
        <f>IFERROR(C47/B47,"")</f>
        <v/>
      </c>
      <c r="F47" s="37">
        <f>IFERROR(D47/B47,"")</f>
        <v/>
      </c>
      <c r="G47" s="37">
        <f>Q47</f>
        <v/>
      </c>
      <c r="H47" s="37">
        <f>IFERROR(LEFT(G47,1),"")</f>
        <v/>
      </c>
      <c r="I47" s="37">
        <f>IF(LEN(G47)&gt;1,1,0)</f>
        <v/>
      </c>
      <c r="J47" s="80" t="n">
        <v>46182</v>
      </c>
      <c r="K47" s="37" t="inlineStr">
        <is>
          <t>The Well</t>
        </is>
      </c>
      <c r="L47" s="37" t="inlineStr">
        <is>
          <t>470-480 Front St W</t>
        </is>
      </c>
      <c r="M47" s="37" t="inlineStr">
        <is>
          <t>Toronto (King West)</t>
        </is>
      </c>
      <c r="N47" s="37" t="n">
        <v>2024</v>
      </c>
      <c r="O47" s="37" t="inlineStr">
        <is>
          <t>2108</t>
        </is>
      </c>
      <c r="P47" s="37" t="inlineStr">
        <is>
          <t>2108 - 470-480 Front St W</t>
        </is>
      </c>
      <c r="Q47" s="37" t="inlineStr">
        <is>
          <t>1+1</t>
        </is>
      </c>
      <c r="R47" s="37" t="n">
        <v>1</v>
      </c>
      <c r="T47" s="37" t="inlineStr">
        <is>
          <t>500-599 sqft</t>
        </is>
      </c>
      <c r="U47" s="37" t="n">
        <v>0</v>
      </c>
      <c r="V47" s="37" t="inlineStr">
        <is>
          <t>No</t>
        </is>
      </c>
      <c r="Z47" s="37" t="inlineStr">
        <is>
          <t>Built 2024</t>
        </is>
      </c>
      <c r="AB47" s="59" t="n">
        <v>2700</v>
      </c>
      <c r="AC47" s="59" t="n">
        <v>2750</v>
      </c>
      <c r="AD47" s="37">
        <f>IFERROR(AB47/B47,"")</f>
        <v/>
      </c>
      <c r="AE47" s="37">
        <f>IFERROR(AC47/B47,"")</f>
        <v/>
      </c>
      <c r="AI47" s="37" t="inlineStr">
        <is>
          <t>2026-06-09</t>
        </is>
      </c>
      <c r="AJ47" s="37" t="inlineStr">
        <is>
          <t>C13233796</t>
        </is>
      </c>
      <c r="AK47" s="37" t="inlineStr">
        <is>
          <t>https://condos.ca/toronto/the-well-455-480-front-st-w-455-wellington-st-w/unit-2108-C13233796</t>
        </is>
      </c>
      <c r="AL47" s="37" t="inlineStr">
        <is>
          <t>SF bracket-only on condos.ca — excluded from $/SF.</t>
        </is>
      </c>
      <c r="AM47" s="37" t="inlineStr">
        <is>
          <t>Condo</t>
        </is>
      </c>
      <c r="AN47" s="37">
        <f>IFERROR(E47*(1+IF(AM47="Apartment",Data_Summary!$C$3,0)),"")</f>
        <v/>
      </c>
      <c r="AO47" s="85" t="n">
        <v>46189</v>
      </c>
    </row>
    <row r="48" ht="15" customHeight="1" s="38">
      <c r="A48" s="37">
        <f>IF(AND(ISNUMBER(B48),B48&gt;0,ISNUMBER(AB48),AB48&gt;0,J48&gt;=Data_Summary!$C$1),1,0)</f>
        <v/>
      </c>
      <c r="B48" s="82" t="n"/>
      <c r="C48" s="37">
        <f>IF(ISNUMBER(AB48),AB48,"")</f>
        <v/>
      </c>
      <c r="D48" s="37">
        <f>IF(ISNUMBER(C48),C48-U48*Data_Summary!$C$2,"")</f>
        <v/>
      </c>
      <c r="E48" s="82">
        <f>IFERROR(C48/B48,"")</f>
        <v/>
      </c>
      <c r="F48" s="37">
        <f>IFERROR(D48/B48,"")</f>
        <v/>
      </c>
      <c r="G48" s="37">
        <f>Q48</f>
        <v/>
      </c>
      <c r="H48" s="37">
        <f>IFERROR(LEFT(G48,1),"")</f>
        <v/>
      </c>
      <c r="I48" s="37">
        <f>IF(LEN(G48)&gt;1,1,0)</f>
        <v/>
      </c>
      <c r="J48" s="80" t="n">
        <v>46179</v>
      </c>
      <c r="K48" s="37" t="inlineStr">
        <is>
          <t>The Well</t>
        </is>
      </c>
      <c r="L48" s="37" t="inlineStr">
        <is>
          <t>470-480 Front St W</t>
        </is>
      </c>
      <c r="M48" s="37" t="inlineStr">
        <is>
          <t>Toronto (King West)</t>
        </is>
      </c>
      <c r="N48" s="37" t="n">
        <v>2024</v>
      </c>
      <c r="O48" s="37" t="inlineStr">
        <is>
          <t>3607</t>
        </is>
      </c>
      <c r="P48" s="37" t="inlineStr">
        <is>
          <t>3607 - 470-480 Front St W</t>
        </is>
      </c>
      <c r="Q48" s="37" t="inlineStr">
        <is>
          <t>1+1</t>
        </is>
      </c>
      <c r="R48" s="37" t="n">
        <v>2</v>
      </c>
      <c r="T48" s="37" t="inlineStr">
        <is>
          <t>600-699 sqft</t>
        </is>
      </c>
      <c r="U48" s="37" t="n">
        <v>0</v>
      </c>
      <c r="V48" s="37" t="inlineStr">
        <is>
          <t>No</t>
        </is>
      </c>
      <c r="Z48" s="37" t="inlineStr">
        <is>
          <t>Built 2024</t>
        </is>
      </c>
      <c r="AB48" s="59" t="n">
        <v>2900</v>
      </c>
      <c r="AC48" s="59" t="n">
        <v>2900</v>
      </c>
      <c r="AD48" s="37">
        <f>IFERROR(AB48/B48,"")</f>
        <v/>
      </c>
      <c r="AE48" s="37">
        <f>IFERROR(AC48/B48,"")</f>
        <v/>
      </c>
      <c r="AI48" s="37" t="inlineStr">
        <is>
          <t>2026-06-06</t>
        </is>
      </c>
      <c r="AJ48" s="37" t="inlineStr">
        <is>
          <t>C13142876</t>
        </is>
      </c>
      <c r="AK48" s="37" t="inlineStr">
        <is>
          <t>https://condos.ca/toronto/the-well-455-480-front-st-w-455-wellington-st-w/unit-3607-C13142876</t>
        </is>
      </c>
      <c r="AL48" s="37" t="inlineStr">
        <is>
          <t>SF bracket-only on condos.ca — excluded from $/SF.</t>
        </is>
      </c>
      <c r="AM48" s="37" t="inlineStr">
        <is>
          <t>Condo</t>
        </is>
      </c>
      <c r="AN48" s="37">
        <f>IFERROR(E48*(1+IF(AM48="Apartment",Data_Summary!$C$3,0)),"")</f>
        <v/>
      </c>
      <c r="AO48" s="85" t="n">
        <v>46189</v>
      </c>
    </row>
    <row r="49" ht="15" customHeight="1" s="38">
      <c r="A49" s="37">
        <f>IF(AND(ISNUMBER(B49),B49&gt;0,ISNUMBER(AB49),AB49&gt;0,J49&gt;=Data_Summary!$C$1),1,0)</f>
        <v/>
      </c>
      <c r="B49" s="82" t="n"/>
      <c r="C49" s="37">
        <f>IF(ISNUMBER(AB49),AB49,"")</f>
        <v/>
      </c>
      <c r="D49" s="37">
        <f>IF(ISNUMBER(C49),C49-U49*Data_Summary!$C$2,"")</f>
        <v/>
      </c>
      <c r="E49" s="82">
        <f>IFERROR(C49/B49,"")</f>
        <v/>
      </c>
      <c r="F49" s="37">
        <f>IFERROR(D49/B49,"")</f>
        <v/>
      </c>
      <c r="G49" s="37">
        <f>Q49</f>
        <v/>
      </c>
      <c r="H49" s="37">
        <f>IFERROR(LEFT(G49,1),"")</f>
        <v/>
      </c>
      <c r="I49" s="37">
        <f>IF(LEN(G49)&gt;1,1,0)</f>
        <v/>
      </c>
      <c r="J49" s="80" t="n">
        <v>46167</v>
      </c>
      <c r="K49" s="37" t="inlineStr">
        <is>
          <t>The Well</t>
        </is>
      </c>
      <c r="L49" s="37" t="inlineStr">
        <is>
          <t>470-480 Front St W</t>
        </is>
      </c>
      <c r="M49" s="37" t="inlineStr">
        <is>
          <t>Toronto (King West)</t>
        </is>
      </c>
      <c r="N49" s="37" t="n">
        <v>2024</v>
      </c>
      <c r="O49" s="37" t="inlineStr">
        <is>
          <t>3513</t>
        </is>
      </c>
      <c r="P49" s="37" t="inlineStr">
        <is>
          <t>3513 - 470-480 Front St W</t>
        </is>
      </c>
      <c r="Q49" s="37" t="inlineStr">
        <is>
          <t>3</t>
        </is>
      </c>
      <c r="R49" s="37" t="n">
        <v>3</v>
      </c>
      <c r="T49" s="37" t="inlineStr">
        <is>
          <t>1200-1399 sqft</t>
        </is>
      </c>
      <c r="U49" s="37" t="n">
        <v>1</v>
      </c>
      <c r="V49" s="37" t="inlineStr">
        <is>
          <t>Yes</t>
        </is>
      </c>
      <c r="Z49" s="37" t="inlineStr">
        <is>
          <t>Built 2024</t>
        </is>
      </c>
      <c r="AB49" s="59" t="n">
        <v>5800</v>
      </c>
      <c r="AC49" s="59" t="n">
        <v>5800</v>
      </c>
      <c r="AD49" s="37">
        <f>IFERROR(AB49/B49,"")</f>
        <v/>
      </c>
      <c r="AE49" s="37">
        <f>IFERROR(AC49/B49,"")</f>
        <v/>
      </c>
      <c r="AI49" s="37" t="inlineStr">
        <is>
          <t>2026-05-25</t>
        </is>
      </c>
      <c r="AJ49" s="37" t="inlineStr">
        <is>
          <t>C13118560</t>
        </is>
      </c>
      <c r="AK49" s="37" t="inlineStr">
        <is>
          <t>https://condos.ca/toronto/the-well-455-480-front-st-w-455-wellington-st-w/unit-3513-C13118560</t>
        </is>
      </c>
      <c r="AL49" s="37" t="inlineStr">
        <is>
          <t>SF bracket-only on condos.ca — excluded from $/SF.</t>
        </is>
      </c>
      <c r="AM49" s="37" t="inlineStr">
        <is>
          <t>Condo</t>
        </is>
      </c>
      <c r="AN49" s="37">
        <f>IFERROR(E49*(1+IF(AM49="Apartment",Data_Summary!$C$3,0)),"")</f>
        <v/>
      </c>
      <c r="AO49" s="85" t="n">
        <v>46189</v>
      </c>
    </row>
    <row r="50" ht="15" customHeight="1" s="38">
      <c r="A50" s="37">
        <f>IF(AND(ISNUMBER(B50),B50&gt;0,ISNUMBER(AB50),AB50&gt;0,J50&gt;=Data_Summary!$C$1),1,0)</f>
        <v/>
      </c>
      <c r="B50" s="82" t="n"/>
      <c r="C50" s="37">
        <f>IF(ISNUMBER(AB50),AB50,"")</f>
        <v/>
      </c>
      <c r="D50" s="37">
        <f>IF(ISNUMBER(C50),C50-U50*Data_Summary!$C$2,"")</f>
        <v/>
      </c>
      <c r="E50" s="82">
        <f>IFERROR(C50/B50,"")</f>
        <v/>
      </c>
      <c r="F50" s="37">
        <f>IFERROR(D50/B50,"")</f>
        <v/>
      </c>
      <c r="G50" s="37">
        <f>Q50</f>
        <v/>
      </c>
      <c r="H50" s="37">
        <f>IFERROR(LEFT(G50,1),"")</f>
        <v/>
      </c>
      <c r="I50" s="37">
        <f>IF(LEN(G50)&gt;1,1,0)</f>
        <v/>
      </c>
      <c r="J50" s="80" t="n">
        <v>46182</v>
      </c>
      <c r="K50" s="37" t="inlineStr">
        <is>
          <t>Concord Canada House</t>
        </is>
      </c>
      <c r="L50" s="37" t="inlineStr">
        <is>
          <t>23 Spadina Ave</t>
        </is>
      </c>
      <c r="M50" s="37" t="inlineStr">
        <is>
          <t>Toronto (CityPlace)</t>
        </is>
      </c>
      <c r="N50" s="37" t="n">
        <v>2025</v>
      </c>
      <c r="O50" s="37" t="inlineStr">
        <is>
          <t>3308</t>
        </is>
      </c>
      <c r="P50" s="37" t="inlineStr">
        <is>
          <t>3308 - 23 Spadina Ave</t>
        </is>
      </c>
      <c r="Q50" s="37" t="inlineStr">
        <is>
          <t>1</t>
        </is>
      </c>
      <c r="R50" s="37" t="n">
        <v>1</v>
      </c>
      <c r="T50" s="37" t="inlineStr">
        <is>
          <t>500-599 sqft</t>
        </is>
      </c>
      <c r="U50" s="37" t="n">
        <v>0</v>
      </c>
      <c r="V50" s="37" t="inlineStr">
        <is>
          <t>No</t>
        </is>
      </c>
      <c r="Z50" s="37" t="inlineStr">
        <is>
          <t>Built 2025</t>
        </is>
      </c>
      <c r="AB50" s="59" t="n">
        <v>4000</v>
      </c>
      <c r="AC50" s="59" t="n">
        <v>3800</v>
      </c>
      <c r="AD50" s="37">
        <f>IFERROR(AB50/B50,"")</f>
        <v/>
      </c>
      <c r="AE50" s="37">
        <f>IFERROR(AC50/B50,"")</f>
        <v/>
      </c>
      <c r="AI50" s="37" t="inlineStr">
        <is>
          <t>2026-06-09</t>
        </is>
      </c>
      <c r="AJ50" s="37" t="inlineStr">
        <is>
          <t>C13075812</t>
        </is>
      </c>
      <c r="AK50" s="37" t="inlineStr">
        <is>
          <t>https://condos.ca/toronto/concord-canada-house-23-spadina-ave-1-3-concord-cityplace-way/unit-3308-C13075812</t>
        </is>
      </c>
      <c r="AL50" s="37" t="inlineStr">
        <is>
          <t>Outlier ($4,000 for sub-600 1-bed; likely furnished/short-term) — excluded.</t>
        </is>
      </c>
      <c r="AM50" s="37" t="inlineStr">
        <is>
          <t>Condo</t>
        </is>
      </c>
      <c r="AN50" s="37">
        <f>IFERROR(E50*(1+IF(AM50="Apartment",Data_Summary!$C$3,0)),"")</f>
        <v/>
      </c>
      <c r="AO50" s="85" t="n">
        <v>46189</v>
      </c>
    </row>
  </sheetData>
  <autoFilter ref="A1:AO5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O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sheetData>
    <row r="1" ht="52.2" customHeight="1" s="38">
      <c r="A1" s="40" t="inlineStr">
        <is>
          <t>Include</t>
        </is>
      </c>
      <c r="B1" s="40" t="inlineStr">
        <is>
          <t>Sq Ft.</t>
        </is>
      </c>
      <c r="C1" s="40" t="inlineStr">
        <is>
          <t>Rent</t>
        </is>
      </c>
      <c r="D1" s="40" t="inlineStr">
        <is>
          <t>Adj. Rent</t>
        </is>
      </c>
      <c r="E1" s="40" t="inlineStr">
        <is>
          <t>$/sq ft</t>
        </is>
      </c>
      <c r="F1" s="40" t="inlineStr">
        <is>
          <t>Adj. $/sq ft</t>
        </is>
      </c>
      <c r="G1" s="40" t="inlineStr">
        <is>
          <t>Adj BD</t>
        </is>
      </c>
      <c r="H1" s="40" t="inlineStr">
        <is>
          <t>Beds Number</t>
        </is>
      </c>
      <c r="I1" s="40" t="inlineStr">
        <is>
          <t>Den</t>
        </is>
      </c>
      <c r="J1" s="40" t="inlineStr">
        <is>
          <t>Date</t>
        </is>
      </c>
      <c r="K1" s="40" t="inlineStr">
        <is>
          <t>Building Name</t>
        </is>
      </c>
      <c r="L1" s="40" t="inlineStr">
        <is>
          <t>Building Address</t>
        </is>
      </c>
      <c r="M1" s="40" t="inlineStr">
        <is>
          <t>Building City</t>
        </is>
      </c>
      <c r="N1" s="40" t="inlineStr">
        <is>
          <t>Developer</t>
        </is>
      </c>
      <c r="O1" s="40" t="inlineStr">
        <is>
          <t>Unit #</t>
        </is>
      </c>
      <c r="P1" s="40" t="inlineStr">
        <is>
          <t>Unit Address</t>
        </is>
      </c>
      <c r="Q1" s="40" t="inlineStr">
        <is>
          <t>Beds</t>
        </is>
      </c>
      <c r="R1" s="40" t="inlineStr">
        <is>
          <t>Baths</t>
        </is>
      </c>
      <c r="S1" s="40" t="inlineStr">
        <is>
          <t>Sqft (Condos.ca)</t>
        </is>
      </c>
      <c r="T1" s="40" t="inlineStr">
        <is>
          <t>MLS Size Range</t>
        </is>
      </c>
      <c r="U1" s="40" t="inlineStr">
        <is>
          <t># Parking</t>
        </is>
      </c>
      <c r="V1" s="40" t="inlineStr">
        <is>
          <t>Parking Included</t>
        </is>
      </c>
      <c r="W1" s="40" t="inlineStr">
        <is>
          <t>Locker</t>
        </is>
      </c>
      <c r="X1" s="40" t="inlineStr">
        <is>
          <t>Outdoor Space</t>
        </is>
      </c>
      <c r="Y1" s="40" t="inlineStr">
        <is>
          <t>Exposure</t>
        </is>
      </c>
      <c r="Z1" s="40" t="inlineStr">
        <is>
          <t>Building Age</t>
        </is>
      </c>
      <c r="AA1" s="40" t="inlineStr">
        <is>
          <t>Building Amenities</t>
        </is>
      </c>
      <c r="AB1" s="40" t="inlineStr">
        <is>
          <t>Leased Rent ($)</t>
        </is>
      </c>
      <c r="AC1" s="40" t="inlineStr">
        <is>
          <t>Listed Rent ($)</t>
        </is>
      </c>
      <c r="AD1" s="40" t="inlineStr">
        <is>
          <t>PSF (Calculated)</t>
        </is>
      </c>
      <c r="AE1" s="40" t="inlineStr">
        <is>
          <t>PSF (Listing)</t>
        </is>
      </c>
      <c r="AF1" s="40" t="inlineStr">
        <is>
          <t>Furnished</t>
        </is>
      </c>
      <c r="AG1" s="40" t="inlineStr">
        <is>
          <t>Hydro Included</t>
        </is>
      </c>
      <c r="AH1" s="40" t="inlineStr">
        <is>
          <t>Water Included</t>
        </is>
      </c>
      <c r="AI1" s="40" t="inlineStr">
        <is>
          <t>Lease Date</t>
        </is>
      </c>
      <c r="AJ1" s="40" t="inlineStr">
        <is>
          <t>MLS#</t>
        </is>
      </c>
      <c r="AK1" s="40" t="inlineStr">
        <is>
          <t>Listing URL</t>
        </is>
      </c>
      <c r="AL1" s="40" t="inlineStr">
        <is>
          <t>Description</t>
        </is>
      </c>
      <c r="AM1" s="40" t="inlineStr">
        <is>
          <t>Product Type</t>
        </is>
      </c>
      <c r="AN1" s="40" t="inlineStr">
        <is>
          <t>$/SF (Product-Adj)</t>
        </is>
      </c>
      <c r="AO1" s="53" t="inlineStr">
        <is>
          <t>Date Scraped</t>
        </is>
      </c>
    </row>
    <row r="2" ht="15" customHeight="1" s="38">
      <c r="A2" s="37">
        <f>IF(AND(ISNUMBER(B2),B2&gt;0,ISNUMBER(AB2),AB2&gt;0,J2&gt;=Data_Summary!$C$1),1,0)</f>
        <v/>
      </c>
      <c r="C2" s="37">
        <f>IF(ISNUMBER(AB2),AB2,"")</f>
        <v/>
      </c>
      <c r="D2" s="37">
        <f>IF(ISNUMBER(C2),C2-U2*Data_Summary!$C$2,"")</f>
        <v/>
      </c>
      <c r="E2" s="37">
        <f>IFERROR(C2/B2,"")</f>
        <v/>
      </c>
      <c r="F2" s="37">
        <f>IFERROR(D2/B2,"")</f>
        <v/>
      </c>
      <c r="G2" s="37">
        <f>Q2</f>
        <v/>
      </c>
      <c r="H2" s="37">
        <f>IFERROR(LEFT(G2,1),"")</f>
        <v/>
      </c>
      <c r="I2" s="37">
        <f>IF(LEN(G2)&gt;1,1,0)</f>
        <v/>
      </c>
      <c r="AD2" s="37">
        <f>IFERROR(AB2/B2,"")</f>
        <v/>
      </c>
      <c r="AE2" s="37">
        <f>IFERROR(AC2/B2,"")</f>
        <v/>
      </c>
      <c r="AM2" s="37" t="inlineStr">
        <is>
          <t>Apartment</t>
        </is>
      </c>
      <c r="AN2" s="37">
        <f>IFERROR(E2*(1+IF(AM2="Apartment",Data_Summary!$C$3,0)),"")</f>
        <v/>
      </c>
    </row>
    <row r="3" ht="15" customHeight="1" s="38">
      <c r="K3" s="50" t="inlineStr">
        <is>
          <t>No purpose-built rental apartment comps in this set — subject is a condo; all 9 selected comps are condos (see RD Condos).</t>
        </is>
      </c>
      <c r="AO3" s="85" t="n">
        <v>46189</v>
      </c>
    </row>
  </sheetData>
  <autoFilter ref="A1:AO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37" min="1" max="1"/>
    <col width="22" customWidth="1" style="37" min="2" max="2"/>
    <col width="24" customWidth="1" style="37" min="3" max="3"/>
    <col width="20" customWidth="1" style="37" min="4" max="4"/>
    <col width="7" customWidth="1" style="37" min="5" max="6"/>
    <col width="9" customWidth="1" style="37" min="7" max="7"/>
    <col width="24" customWidth="1" style="37" min="8" max="8"/>
  </cols>
  <sheetData>
    <row r="1" ht="15" customHeight="1" s="38">
      <c r="A1" s="40" t="inlineStr">
        <is>
          <t>Building Name</t>
        </is>
      </c>
      <c r="B1" s="40" t="inlineStr">
        <is>
          <t>Building Address</t>
        </is>
      </c>
      <c r="C1" s="40" t="inlineStr">
        <is>
          <t>Building City</t>
        </is>
      </c>
      <c r="D1" s="40" t="inlineStr">
        <is>
          <t>Suite Name</t>
        </is>
      </c>
      <c r="E1" s="40" t="inlineStr">
        <is>
          <t>Beds</t>
        </is>
      </c>
      <c r="F1" s="40" t="inlineStr">
        <is>
          <t>Baths</t>
        </is>
      </c>
      <c r="G1" s="40" t="inlineStr">
        <is>
          <t>Sq Ft</t>
        </is>
      </c>
      <c r="H1" s="40" t="inlineStr">
        <is>
          <t>Exposure</t>
        </is>
      </c>
    </row>
    <row r="2" ht="15" customHeight="1" s="38">
      <c r="A2" s="37" t="inlineStr">
        <is>
          <t>10 Lower Spadina Condos (SUBJECT)</t>
        </is>
      </c>
      <c r="B2" s="37" t="inlineStr">
        <is>
          <t>10 Lower Spadina Ave</t>
        </is>
      </c>
      <c r="C2" s="37" t="inlineStr">
        <is>
          <t>Toronto (Waterfront / C01)</t>
        </is>
      </c>
      <c r="D2" s="37" t="inlineStr">
        <is>
          <t>— no plans published —</t>
        </is>
      </c>
      <c r="H2" s="37" t="inlineStr">
        <is>
          <t>pre-construction (Planning Phase)</t>
        </is>
      </c>
    </row>
    <row r="3" ht="15" customHeight="1" s="38">
      <c r="A3" s="50" t="inlineStr">
        <is>
          <t>No floor plans are published for 10 Lower Spadina Condos as of 2026-06-16 (vipcondostoronto.net: 'No floor plans currently available'). Subject unit mix is therefore estimated (Data_Summary Q8:Q10).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2026-06-16T17:20:54Z</dcterms:created>
  <dcterms:modified xsi:type="dcterms:W3CDTF">2026-06-16T19:01:08Z</dcterms:modified>
  <cp:revision>0</cp:revision>
</cp:coreProperties>
</file>