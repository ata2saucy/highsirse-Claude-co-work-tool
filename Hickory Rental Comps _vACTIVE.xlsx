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put" sheetId="1" state="visible" r:id="rId3"/>
    <sheet name="Subject &amp; Conclusion" sheetId="2" state="visible" r:id="rId4"/>
    <sheet name="Building Summary" sheetId="3" state="visible" r:id="rId5"/>
    <sheet name="Data_Summary" sheetId="4" state="visible" r:id="rId6"/>
    <sheet name="Raw Data" sheetId="5" state="visible" r:id="rId7"/>
    <sheet name="Floor Plans" sheetId="6" state="visible" r:id="rId8"/>
  </sheets>
  <definedNames>
    <definedName function="false" hidden="true" localSheetId="4" name="_xlnm._FilterDatabase" vbProcedure="false">'Raw Data'!$A$1:$AN$40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<sst xmlns="http://schemas.openxmlformats.org/spreadsheetml/2006/main" count="1046" uniqueCount="404">
  <si>
    <t xml:space="preserve">Unit Mix Adjusted1</t>
  </si>
  <si>
    <t xml:space="preserve">Building</t>
  </si>
  <si>
    <t xml:space="preserve">First Occupancy</t>
  </si>
  <si>
    <t xml:space="preserve">Avg.Lease Date</t>
  </si>
  <si>
    <t xml:space="preserve">Vacancy</t>
  </si>
  <si>
    <t xml:space="preserve">Transaction Count</t>
  </si>
  <si>
    <t xml:space="preserve">Avg Suite Size</t>
  </si>
  <si>
    <t xml:space="preserve">Adj. Avg. Rent</t>
  </si>
  <si>
    <t xml:space="preserve">Avg. Net Rent PSF</t>
  </si>
  <si>
    <t xml:space="preserve">Lawrence &amp; Jane St</t>
  </si>
  <si>
    <t xml:space="preserve">The Humber</t>
  </si>
  <si>
    <t xml:space="preserve">Average</t>
  </si>
  <si>
    <t xml:space="preserve">PBR Premium</t>
  </si>
  <si>
    <t xml:space="preserve">Implied Untrended Rent</t>
  </si>
  <si>
    <t xml:space="preserve">Subject Site (Untrended Rent)</t>
  </si>
  <si>
    <t xml:space="preserve">Other Excluded</t>
  </si>
  <si>
    <t xml:space="preserve">River Hill (2006) · The Winston House (1976) · Emmett House (1974) — REMOVED per user instruction 2026-06-09; re-offered in fresh shortlist 2026-06-11, not selected.</t>
  </si>
  <si>
    <t xml:space="preserve">Shortlisted 2026-06-11, not selected: River Ridge — 1–3 Hickory Tree Rd (1991, 19fl/413u, ~12 recent rentals, exact per-unit SF, ~450 m — NEW candidate) · West22/WestonHub — 22 John St (2020 PBR apt, 30fl/377u, ~300 m — closest vintage but 0 MLS lease records; asking-rent evidence only, would need PBR premium).</t>
  </si>
  <si>
    <t xml:space="preserve">Also evaluated &amp; excluded 2026-06-11: Weston On The Humber — 2464 Weston Rd (2007 micro-suites 343–957sf, ~5 leases $1,400–1,850 — segment mismatch) · The Charlton Residences — 1695 Weston Rd (precon condo, 0 rentals) · Weston Gate — 2130 Weston Rd (1978, 75u, 2 leases, bracket-only SF) · Eglinton Park Place — 3559 Eglinton W (1988, ~2.3 km, 2 leases) · Lexington on the Green (2008 low-rise towns — product) · Sidney Belsey 50–74 / W Towns / Riverboat Landing (stacked towns — product) · Humberview Heights (0 rentals) · RioCan Hall 126 John (precon) · 2255/2275 Weston, 1530 Weston, 38 Gibson (non-condo / partial units).</t>
  </si>
  <si>
    <t xml:space="preserve">(no excluded-building comps in workbook — group removed)</t>
  </si>
  <si>
    <t xml:space="preserve">Weighted Average</t>
  </si>
  <si>
    <t xml:space="preserve">1-Bedroom Units</t>
  </si>
  <si>
    <t xml:space="preserve">1-Bedroom + Den Units</t>
  </si>
  <si>
    <t xml:space="preserve">2-Bedroom Units</t>
  </si>
  <si>
    <t xml:space="preserve">3-Bedroom Units</t>
  </si>
  <si>
    <t xml:space="preserve">Transaction
Count</t>
  </si>
  <si>
    <t xml:space="preserve">Avg. Suite
Size</t>
  </si>
  <si>
    <t xml:space="preserve">Adj. Avg.
Rent</t>
  </si>
  <si>
    <t xml:space="preserve">Avg. Net
Rent PSF</t>
  </si>
  <si>
    <t xml:space="preserve">Weighted Avg.</t>
  </si>
  <si>
    <t xml:space="preserve">Low</t>
  </si>
  <si>
    <t xml:space="preserve">High</t>
  </si>
  <si>
    <t xml:space="preserve">Weighted Avg. Building Total (Comps)</t>
  </si>
  <si>
    <t xml:space="preserve">Subject Property (Using Comp $ Rent)</t>
  </si>
  <si>
    <t xml:space="preserve">Subject Property Rent Building Total</t>
  </si>
  <si>
    <t xml:space="preserve">Subject Property (Using Comp PSF Rent)</t>
  </si>
  <si>
    <t xml:space="preserve">Subject Property PSF Rent Building Total</t>
  </si>
  <si>
    <t xml:space="preserve">Subject Property Rent</t>
  </si>
  <si>
    <t xml:space="preserve">Regression:</t>
  </si>
  <si>
    <t xml:space="preserve">Coefficients:</t>
  </si>
  <si>
    <t xml:space="preserve">Total Building coefficient</t>
  </si>
  <si>
    <t xml:space="preserve">← input from regression model (Predictor sheet)</t>
  </si>
  <si>
    <t xml:space="preserve">Subject Property Rent (Increase)</t>
  </si>
  <si>
    <t xml:space="preserve">Unadjusted</t>
  </si>
  <si>
    <t xml:space="preserve">TRREB Data (Q1 2026)</t>
  </si>
  <si>
    <t xml:space="preserve">Rent</t>
  </si>
  <si>
    <t xml:space="preserve">Toronto W04</t>
  </si>
  <si>
    <t xml:space="preserve">← input TRREB Q1-2026 rental report (district W04 / City of Toronto / YoY) — filled from report read 2026-06-09</t>
  </si>
  <si>
    <t xml:space="preserve">City of Toronto</t>
  </si>
  <si>
    <t xml:space="preserve">YoY Change</t>
  </si>
  <si>
    <t xml:space="preserve">★  TLDR — RECOMMENDED RENT · Hickory Tree Tower Condos</t>
  </si>
  <si>
    <t xml:space="preserve">Subject = current comp evidence (The Humber, 2023, ~250 m) grossed up by your new-build / lease-up premium. Comp set: The Humber ONLY (user instruction 2026-06-09; re-confirmed via fresh shortlist 2026-06-11).  Confidence: HIGH.</t>
  </si>
  <si>
    <t xml:space="preserve">RECOMMENDED SUBJECT RENT ($/SF)</t>
  </si>
  <si>
    <t xml:space="preserve">Basis: Humber comp $/SF (Data_Summary!C25) x (1 + premium Data_Summary!C4)</t>
  </si>
  <si>
    <t xml:space="preserve">Conservative basis (all-comp + premium)</t>
  </si>
  <si>
    <t xml:space="preserve">RECOMMENDED MONTHLY RENT — by suite type (subject = Humber comp + premium)</t>
  </si>
  <si>
    <t xml:space="preserve">Suite type</t>
  </si>
  <si>
    <t xml:space="preserve">Avg SF</t>
  </si>
  <si>
    <t xml:space="preserve">Recommended Rent</t>
  </si>
  <si>
    <t xml:space="preserve">1-Bed / 1+Den</t>
  </si>
  <si>
    <t xml:space="preserve">2-Bed</t>
  </si>
  <si>
    <t xml:space="preserve">3-Bed</t>
  </si>
  <si>
    <t xml:space="preserve">Custom suite — enter size (sq ft) →</t>
  </si>
  <si>
    <t xml:space="preserve">Implied rent @ recommended subject $/SF</t>
  </si>
  <si>
    <t xml:space="preserve">Implied rent @ raw comp $/SF (no premium)</t>
  </si>
  <si>
    <t xml:space="preserve">WHY THIS DIFFERS FROM YOUR PRIOR ~$3.90/SF</t>
  </si>
  <si>
    <t xml:space="preserve">Current-market comp $/SF — The Humber (2026 leases)</t>
  </si>
  <si>
    <t xml:space="preserve">market evidence today</t>
  </si>
  <si>
    <t xml:space="preserve">+ New-build / lease-up premium</t>
  </si>
  <si>
    <t xml:space="preserve">your prior model assumption</t>
  </si>
  <si>
    <t xml:space="preserve">Recommended subject $/SF (current market)</t>
  </si>
  <si>
    <t xml:space="preserve">this workbook</t>
  </si>
  <si>
    <t xml:space="preserve">Your prior subject $/SF (2024-rent anchored)</t>
  </si>
  <si>
    <t xml:space="preserve">Data_Old "Wilby figures"</t>
  </si>
  <si>
    <t xml:space="preserve">Residual vs prior</t>
  </si>
  <si>
    <t xml:space="preserve">~ rent softening 2024-2026 + comp-mix/den-grouping</t>
  </si>
  <si>
    <t xml:space="preserve">Validation: Humber 2-Bed $/SF = $3.26 vs your prior "Wilby" 2-Bed $3.25 — method ties out; gap to $3.90 is premium + market timing, not the comps.</t>
  </si>
  <si>
    <t xml:space="preserve">Confidence colours (Raw Data / Building Summary):</t>
  </si>
  <si>
    <t xml:space="preserve">High = leased in-window, SF verified per-unit</t>
  </si>
  <si>
    <t xml:space="preserve">Med = active/asking, older lease, or minor SF caveat</t>
  </si>
  <si>
    <t xml:space="preserve">Low = SF estimate/bracket only, or partial-unit</t>
  </si>
  <si>
    <t xml:space="preserve">Comp-derived detail (raw $/SF, before premium)</t>
  </si>
  <si>
    <t xml:space="preserve">Benchmark</t>
  </si>
  <si>
    <t xml:space="preserve">Avg Leased Rent</t>
  </si>
  <si>
    <t xml:space="preserve">Avg $/SF</t>
  </si>
  <si>
    <t xml:space="preserve">Note</t>
  </si>
  <si>
    <t xml:space="preserve">The Humber only (new build, 2023)</t>
  </si>
  <si>
    <t xml:space="preserve">PRIMARY</t>
  </si>
  <si>
    <t xml:space="preserve">1-Bed (all comps, den-incl.)</t>
  </si>
  <si>
    <t xml:space="preserve">2-Bed (all comps)</t>
  </si>
  <si>
    <t xml:space="preserve">3-Bed (all comps)</t>
  </si>
  <si>
    <t xml:space="preserve">• Subject: Hickory Tree Tower — Arkfield/A1, DIALOG, 38 storeys/446 suites, 1736-1746 Weston Rd (Planning Phase).</t>
  </si>
  <si>
    <t xml:space="preserve">• Parking adjustment is OLS-derived (Data_Summary C2 = regression coefficient, ~$140/spot), not a copied figure.</t>
  </si>
  <si>
    <t xml:space="preserve">• Colour rule: dark blue = hardcoded input, grey = formula, green = pulled from another sheet.</t>
  </si>
  <si>
    <t xml:space="preserve">• The Humber SF re-verified per-unit 2026-06-11 (every leased/active row opened; incl. unit 101, 1,135 sf). Fresh area shortlist 2026-06-11: River Ridge + West22 newly evaluated; user kept Humber-only set. Two new actives added (1102 $2,400 · 1004 $2,200).</t>
  </si>
  <si>
    <t xml:space="preserve">• Definitive SF source: registered declaration / suite-area schedule (Humber=TSCC-2982) or MPAC.</t>
  </si>
  <si>
    <t xml:space="preserve">Comp Building Summary — Hickory Tree Tower (1736-1746 Weston Rd)</t>
  </si>
  <si>
    <t xml:space="preserve">Address</t>
  </si>
  <si>
    <t xml:space="preserve">Area</t>
  </si>
  <si>
    <t xml:space="preserve">Developer</t>
  </si>
  <si>
    <t xml:space="preserve">Yr Built</t>
  </si>
  <si>
    <t xml:space="preserve">Product</t>
  </si>
  <si>
    <t xml:space="preserve">Storeys</t>
  </si>
  <si>
    <t xml:space="preserve">Units</t>
  </si>
  <si>
    <t xml:space="preserve">Avg Rent</t>
  </si>
  <si>
    <t xml:space="preserve">10 Wilby Crescent</t>
  </si>
  <si>
    <t xml:space="preserve">Weston</t>
  </si>
  <si>
    <t xml:space="preserve">Options for Homes</t>
  </si>
  <si>
    <t xml:space="preserve">Condo</t>
  </si>
  <si>
    <t xml:space="preserve">ALL COMPS</t>
  </si>
  <si>
    <t xml:space="preserve">Date Filter (include leases on/after)</t>
  </si>
  <si>
    <t xml:space="preserve">Subject unit mix — auto-derived from Floor Plans SUBJECT plan rows when present; else manual sourced mix in P7:Q10 (this subject is pre-construction — manual, sourced). See derivation block at P1. Never a bare constant.</t>
  </si>
  <si>
    <t xml:space="preserve">Parking regression helper (OLS): X = SF, Parking, 2-bed, 3-bed ; Y = Rent (leased rows 2-27)</t>
  </si>
  <si>
    <t xml:space="preserve">SUBJECT UNIT-MIX DERIVATION (provenance — never a bare constant)</t>
  </si>
  <si>
    <t xml:space="preserve">Parking Adjustment ($/spot/mo) — OLS-derived</t>
  </si>
  <si>
    <t xml:space="preserve">OLS parking coefficient — live LINEST on the 26 Humber leased rows (controls: SF, 2bd/3bd dummies). Recomputes with the data.</t>
  </si>
  <si>
    <t xml:space="preserve">1BR wt</t>
  </si>
  <si>
    <t xml:space="preserve">1BR + studio plans (Floor Plans SUBJECT rows)</t>
  </si>
  <si>
    <t xml:space="preserve">Apartment / PBR premium (apt comps only)</t>
  </si>
  <si>
    <t xml:space="preserve">0 = off (no purpose-built-apartment comps in set)</t>
  </si>
  <si>
    <t xml:space="preserve">2BR wt</t>
  </si>
  <si>
    <t xml:space="preserve">2BR plans</t>
  </si>
  <si>
    <t xml:space="preserve">Subject rental premium (new-build / lease-up)</t>
  </si>
  <si>
    <t xml:space="preserve">from prior Hickory model (Data_Old): +12.4-13.3%. Tunable.</t>
  </si>
  <si>
    <t xml:space="preserve">3BR wt</t>
  </si>
  <si>
    <t xml:space="preserve">3BR plans</t>
  </si>
  <si>
    <t xml:space="preserve">Comp building rollup (included leases)</t>
  </si>
  <si>
    <t xml:space="preserve">Total subject plans found</t>
  </si>
  <si>
    <t xml:space="preserve">Built</t>
  </si>
  <si>
    <t xml:space="preserve">Incl.</t>
  </si>
  <si>
    <t xml:space="preserve">Mode</t>
  </si>
  <si>
    <t xml:space="preserve">Built 2023 (3 yrs)</t>
  </si>
  <si>
    <t xml:space="preserve">Manual mix source (used only when no SUBJECT plans tagged)</t>
  </si>
  <si>
    <t xml:space="preserve">Hickory Tree Tower planned mix 30/16/45/9 (1B/1+Den/2B/3B), den folded into 1BR -&gt; 46/45/9. Source: subject 446-suite / 38-storey program (A1 Development / Arkfield). Pre-construction: no subject plans in Floor Plans (comp = The Humber only), so not derivable here. Confirm vs developer suite schedule.</t>
  </si>
  <si>
    <t xml:space="preserve">Manual 1BR wt</t>
  </si>
  <si>
    <t xml:space="preserve">By Bedroom — all comps (den-incl.)</t>
  </si>
  <si>
    <t xml:space="preserve">Manual 2BR wt</t>
  </si>
  <si>
    <t xml:space="preserve">Beds</t>
  </si>
  <si>
    <t xml:space="preserve">Manual 3BR wt</t>
  </si>
  <si>
    <t xml:space="preserve">1 Bed</t>
  </si>
  <si>
    <t xml:space="preserve">Weights below auto-switch: derived if plans tagged, else manual.</t>
  </si>
  <si>
    <t xml:space="preserve">2 Bed</t>
  </si>
  <si>
    <t xml:space="preserve">3 Bed</t>
  </si>
  <si>
    <t xml:space="preserve">By Bedroom — The Humber only (new-build basis)</t>
  </si>
  <si>
    <t xml:space="preserve">$/SF</t>
  </si>
  <si>
    <t xml:space="preserve">Subj Rent (+prem)</t>
  </si>
  <si>
    <t xml:space="preserve">SUBJECT RECOMMENDATION (comp $/SF + premium)</t>
  </si>
  <si>
    <t xml:space="preserve">Weighted comp $/SF — Humber basis</t>
  </si>
  <si>
    <t xml:space="preserve">Weighted comp $/SF — all-comp basis</t>
  </si>
  <si>
    <t xml:space="preserve">Subject rental premium</t>
  </si>
  <si>
    <t xml:space="preserve">RECOMMENDED subject $/SF (Humber + premium)</t>
  </si>
  <si>
    <t xml:space="preserve">Subject $/SF (all-comp + premium)</t>
  </si>
  <si>
    <t xml:space="preserve">Prior model subject (Data_Old, 2024-anchored)</t>
  </si>
  <si>
    <t xml:space="preserve">Residual vs prior (market timing etc.)</t>
  </si>
  <si>
    <t xml:space="preserve">Include</t>
  </si>
  <si>
    <t xml:space="preserve">Sq Ft.</t>
  </si>
  <si>
    <t xml:space="preserve">Adj. Rent</t>
  </si>
  <si>
    <t xml:space="preserve">$/sq ft</t>
  </si>
  <si>
    <t xml:space="preserve">Adj. $/sq ft</t>
  </si>
  <si>
    <t xml:space="preserve">Adj BD</t>
  </si>
  <si>
    <t xml:space="preserve">Beds Number</t>
  </si>
  <si>
    <t xml:space="preserve">Den</t>
  </si>
  <si>
    <t xml:space="preserve">Date</t>
  </si>
  <si>
    <t xml:space="preserve">Building Name</t>
  </si>
  <si>
    <t xml:space="preserve">Building Address</t>
  </si>
  <si>
    <t xml:space="preserve">Building City</t>
  </si>
  <si>
    <t xml:space="preserve">Unit #</t>
  </si>
  <si>
    <t xml:space="preserve">Unit Address</t>
  </si>
  <si>
    <t xml:space="preserve">Baths</t>
  </si>
  <si>
    <t xml:space="preserve">Sqft (Condos.ca)</t>
  </si>
  <si>
    <t xml:space="preserve">MLS Size Range</t>
  </si>
  <si>
    <t xml:space="preserve"># Parking</t>
  </si>
  <si>
    <t xml:space="preserve">Parking Included</t>
  </si>
  <si>
    <t xml:space="preserve">Locker</t>
  </si>
  <si>
    <t xml:space="preserve">Outdoor Space</t>
  </si>
  <si>
    <t xml:space="preserve">Exposure</t>
  </si>
  <si>
    <t xml:space="preserve">Building Age</t>
  </si>
  <si>
    <t xml:space="preserve">Building Amenities</t>
  </si>
  <si>
    <t xml:space="preserve">Leased Rent ($)</t>
  </si>
  <si>
    <t xml:space="preserve">Listed Rent ($)</t>
  </si>
  <si>
    <t xml:space="preserve">PSF (Calculated)</t>
  </si>
  <si>
    <t xml:space="preserve">PSF (Listing)</t>
  </si>
  <si>
    <t xml:space="preserve">Furnished</t>
  </si>
  <si>
    <t xml:space="preserve">Hydro Included</t>
  </si>
  <si>
    <t xml:space="preserve">Water Included</t>
  </si>
  <si>
    <t xml:space="preserve">Lease Date</t>
  </si>
  <si>
    <t xml:space="preserve">MLS#</t>
  </si>
  <si>
    <t xml:space="preserve">Listing URL</t>
  </si>
  <si>
    <t xml:space="preserve">Description</t>
  </si>
  <si>
    <t xml:space="preserve">Product Type</t>
  </si>
  <si>
    <t xml:space="preserve">$/SF (Product-Adj)</t>
  </si>
  <si>
    <t xml:space="preserve">Toronto (Weston)</t>
  </si>
  <si>
    <t xml:space="preserve">1602</t>
  </si>
  <si>
    <t xml:space="preserve">1602 - 10 Wilby Crescent</t>
  </si>
  <si>
    <t xml:space="preserve">2</t>
  </si>
  <si>
    <t xml:space="preserve">600-699 sqft</t>
  </si>
  <si>
    <t xml:space="preserve">Yes</t>
  </si>
  <si>
    <t xml:space="preserve">Ensuite</t>
  </si>
  <si>
    <t xml:space="preserve">Balcony, Patio</t>
  </si>
  <si>
    <t xml:space="preserve">W</t>
  </si>
  <si>
    <t xml:space="preserve">Gym, Party Room, Rooftop Deck, Visitor Parking, BBQ, Bike Storage, Concierge, Coin Laundry</t>
  </si>
  <si>
    <t xml:space="preserve">No</t>
  </si>
  <si>
    <t xml:space="preserve">2026-04-24</t>
  </si>
  <si>
    <t xml:space="preserve">W12954480</t>
  </si>
  <si>
    <t xml:space="preserve">https://condos.ca/toronto/the-humber-10-wilby-crescent-10-wilby-cres/unit-1602-W12954480</t>
  </si>
  <si>
    <t xml:space="preserve">Leased comp. SF: Verified (condos.ca per-unit). Re-verified 2026-06-11 (unit page opened: SF/beds/baths/parking/rent/date/MLS match).</t>
  </si>
  <si>
    <t xml:space="preserve">409</t>
  </si>
  <si>
    <t xml:space="preserve">409 - 10 Wilby Crescent</t>
  </si>
  <si>
    <t xml:space="preserve">1+1</t>
  </si>
  <si>
    <t xml:space="preserve">None</t>
  </si>
  <si>
    <t xml:space="preserve">S</t>
  </si>
  <si>
    <t xml:space="preserve">2026-04-22</t>
  </si>
  <si>
    <t xml:space="preserve">W12873004</t>
  </si>
  <si>
    <t xml:space="preserve">https://condos.ca/toronto/the-humber-10-wilby-crescent-10-wilby-cres/unit-409-W12873004</t>
  </si>
  <si>
    <t xml:space="preserve">1807</t>
  </si>
  <si>
    <t xml:space="preserve">1807 - 10 Wilby Crescent</t>
  </si>
  <si>
    <t xml:space="preserve">700-799 sqft</t>
  </si>
  <si>
    <t xml:space="preserve">Owned</t>
  </si>
  <si>
    <t xml:space="preserve">NE</t>
  </si>
  <si>
    <t xml:space="preserve">2026-04-21</t>
  </si>
  <si>
    <t xml:space="preserve">W12930642</t>
  </si>
  <si>
    <t xml:space="preserve">https://condos.ca/toronto/the-humber-10-wilby-crescent-10-wilby-cres/unit-1807-W12930642</t>
  </si>
  <si>
    <t xml:space="preserve">204</t>
  </si>
  <si>
    <t xml:space="preserve">204 - 10 Wilby Crescent</t>
  </si>
  <si>
    <t xml:space="preserve">1</t>
  </si>
  <si>
    <t xml:space="preserve">E</t>
  </si>
  <si>
    <t xml:space="preserve">2026-04-13</t>
  </si>
  <si>
    <t xml:space="preserve">W12984894</t>
  </si>
  <si>
    <t xml:space="preserve">https://condos.ca/toronto/the-humber-10-wilby-crescent-10-wilby-cres/unit-204-W12984894</t>
  </si>
  <si>
    <t xml:space="preserve">202</t>
  </si>
  <si>
    <t xml:space="preserve">202 - 10 Wilby Crescent</t>
  </si>
  <si>
    <t xml:space="preserve">2026-04-01</t>
  </si>
  <si>
    <t xml:space="preserve">W12841906</t>
  </si>
  <si>
    <t xml:space="preserve">https://condos.ca/toronto/the-humber-10-wilby-crescent-10-wilby-cres/unit-202-W12841906</t>
  </si>
  <si>
    <t xml:space="preserve">1409</t>
  </si>
  <si>
    <t xml:space="preserve">1409 - 10 Wilby Crescent</t>
  </si>
  <si>
    <t xml:space="preserve">800-899 sqft</t>
  </si>
  <si>
    <t xml:space="preserve">2026-03-28</t>
  </si>
  <si>
    <t xml:space="preserve">W12898704</t>
  </si>
  <si>
    <t xml:space="preserve">https://condos.ca/toronto/the-humber-10-wilby-crescent-10-wilby-cres/unit-1409-W12898704</t>
  </si>
  <si>
    <t xml:space="preserve">1005</t>
  </si>
  <si>
    <t xml:space="preserve">1005 - 10 Wilby Crescent</t>
  </si>
  <si>
    <t xml:space="preserve">500-599 sqft</t>
  </si>
  <si>
    <t xml:space="preserve">2026-03-24</t>
  </si>
  <si>
    <t xml:space="preserve">W12848862</t>
  </si>
  <si>
    <t xml:space="preserve">https://condos.ca/toronto/the-humber-10-wilby-crescent-10-wilby-cres/unit-1005-W12848862</t>
  </si>
  <si>
    <t xml:space="preserve">1206</t>
  </si>
  <si>
    <t xml:space="preserve">1206 - 10 Wilby Crescent</t>
  </si>
  <si>
    <t xml:space="preserve">3</t>
  </si>
  <si>
    <t xml:space="preserve">900-999 sqft</t>
  </si>
  <si>
    <t xml:space="preserve">SW</t>
  </si>
  <si>
    <t xml:space="preserve">2026-03-03</t>
  </si>
  <si>
    <t xml:space="preserve">W12473063</t>
  </si>
  <si>
    <t xml:space="preserve">https://condos.ca/toronto/the-humber-10-wilby-crescent-10-wilby-cres/unit-1206-W12473063</t>
  </si>
  <si>
    <t xml:space="preserve">308</t>
  </si>
  <si>
    <t xml:space="preserve">308 - 10 Wilby Crescent</t>
  </si>
  <si>
    <t xml:space="preserve">2026-01-22</t>
  </si>
  <si>
    <t xml:space="preserve">W12686952</t>
  </si>
  <si>
    <t xml:space="preserve">https://condos.ca/toronto/the-humber-10-wilby-crescent-10-wilby-cres/unit-308-W12686952</t>
  </si>
  <si>
    <t xml:space="preserve">2004</t>
  </si>
  <si>
    <t xml:space="preserve">2004 - 10 Wilby Crescent</t>
  </si>
  <si>
    <t xml:space="preserve">2026-01-21</t>
  </si>
  <si>
    <t xml:space="preserve">W12460996</t>
  </si>
  <si>
    <t xml:space="preserve">https://condos.ca/toronto/the-humber-10-wilby-crescent-10-wilby-cres/unit-2004-W12460996</t>
  </si>
  <si>
    <t xml:space="preserve">101</t>
  </si>
  <si>
    <t xml:space="preserve">101 - 10 Wilby Crescent</t>
  </si>
  <si>
    <t xml:space="preserve">1,000-1,199 sqft</t>
  </si>
  <si>
    <t xml:space="preserve">2025-12-19</t>
  </si>
  <si>
    <t xml:space="preserve">W12506510</t>
  </si>
  <si>
    <t xml:space="preserve">https://condos.ca/toronto/the-humber-10-wilby-crescent-10-wilby-cres/unit-101-W12506510</t>
  </si>
  <si>
    <t xml:space="preserve">Leased comp. SF: Verified (condos.ca per-unit). Added 2026-06-09 deep-verify; 2-storey grade-level suite. Re-verified 2026-06-11 (unit page opened: SF/beds/baths/parking/rent/date/MLS match).</t>
  </si>
  <si>
    <t xml:space="preserve">2102</t>
  </si>
  <si>
    <t xml:space="preserve">2102 - 10 Wilby Crescent</t>
  </si>
  <si>
    <t xml:space="preserve">2025-12-18</t>
  </si>
  <si>
    <t xml:space="preserve">W12573868</t>
  </si>
  <si>
    <t xml:space="preserve">https://condos.ca/toronto/the-humber-10-wilby-crescent-10-wilby-cres/unit-2102-W12573868</t>
  </si>
  <si>
    <t xml:space="preserve">405</t>
  </si>
  <si>
    <t xml:space="preserve">405 - 10 Wilby Crescent</t>
  </si>
  <si>
    <t xml:space="preserve">2025-10-29</t>
  </si>
  <si>
    <t xml:space="preserve">W12432828</t>
  </si>
  <si>
    <t xml:space="preserve">https://condos.ca/toronto/the-humber-10-wilby-crescent-10-wilby-cres/unit-405-W12432828</t>
  </si>
  <si>
    <t xml:space="preserve">Leased comp. SF: Verified (condos.ca per-unit). Re-verified 2026-06-11; caveat: calc 788 sits below MLS bracket 800-899.</t>
  </si>
  <si>
    <t xml:space="preserve">2106</t>
  </si>
  <si>
    <t xml:space="preserve">2106 - 10 Wilby Crescent</t>
  </si>
  <si>
    <t xml:space="preserve">2025-10-03</t>
  </si>
  <si>
    <t xml:space="preserve">W12390989</t>
  </si>
  <si>
    <t xml:space="preserve">https://condos.ca/toronto/the-humber-10-wilby-crescent-10-wilby-cres/unit-2106-W12390989</t>
  </si>
  <si>
    <t xml:space="preserve">615</t>
  </si>
  <si>
    <t xml:space="preserve">615 - 10 Wilby Crescent</t>
  </si>
  <si>
    <t xml:space="preserve">NW</t>
  </si>
  <si>
    <t xml:space="preserve">2025-10-02</t>
  </si>
  <si>
    <t xml:space="preserve">W12339385</t>
  </si>
  <si>
    <t xml:space="preserve">https://condos.ca/toronto/the-humber-10-wilby-crescent-10-wilby-cres/unit-615-W12339385</t>
  </si>
  <si>
    <t xml:space="preserve">2006</t>
  </si>
  <si>
    <t xml:space="preserve">2006 - 10 Wilby Crescent</t>
  </si>
  <si>
    <t xml:space="preserve">2025-09-23</t>
  </si>
  <si>
    <t xml:space="preserve">W12324893</t>
  </si>
  <si>
    <t xml:space="preserve">https://condos.ca/toronto/the-humber-10-wilby-crescent-10-wilby-cres/unit-2006-W12324893</t>
  </si>
  <si>
    <t xml:space="preserve">407</t>
  </si>
  <si>
    <t xml:space="preserve">407 - 10 Wilby Crescent</t>
  </si>
  <si>
    <t xml:space="preserve">2025-09-05</t>
  </si>
  <si>
    <t xml:space="preserve">W12317619</t>
  </si>
  <si>
    <t xml:space="preserve">https://condos.ca/toronto/the-humber-10-wilby-crescent-10-wilby-cres/unit-407-W12317619</t>
  </si>
  <si>
    <t xml:space="preserve">1204</t>
  </si>
  <si>
    <t xml:space="preserve">1204 - 10 Wilby Crescent</t>
  </si>
  <si>
    <t xml:space="preserve">2025-08-18</t>
  </si>
  <si>
    <t xml:space="preserve">W12272427</t>
  </si>
  <si>
    <t xml:space="preserve">https://condos.ca/toronto/the-humber-10-wilby-crescent-10-wilby-cres/unit-1204-W12272427</t>
  </si>
  <si>
    <t xml:space="preserve">906</t>
  </si>
  <si>
    <t xml:space="preserve">906 - 10 Wilby Crescent</t>
  </si>
  <si>
    <t xml:space="preserve">2025-07-24</t>
  </si>
  <si>
    <t xml:space="preserve">W12276329</t>
  </si>
  <si>
    <t xml:space="preserve">https://condos.ca/toronto/the-humber-10-wilby-crescent-10-wilby-cres/unit-906-W12276329</t>
  </si>
  <si>
    <t xml:space="preserve">901</t>
  </si>
  <si>
    <t xml:space="preserve">901 - 10 Wilby Crescent</t>
  </si>
  <si>
    <t xml:space="preserve">2025-07-03</t>
  </si>
  <si>
    <t xml:space="preserve">W12216889</t>
  </si>
  <si>
    <t xml:space="preserve">https://condos.ca/toronto/the-humber-10-wilby-crescent-10-wilby-cres/unit-901-W12216889</t>
  </si>
  <si>
    <t xml:space="preserve">9</t>
  </si>
  <si>
    <t xml:space="preserve">9 - 10 Wilby Crescent</t>
  </si>
  <si>
    <t xml:space="preserve">2025-06-26</t>
  </si>
  <si>
    <t xml:space="preserve">W12049546</t>
  </si>
  <si>
    <t xml:space="preserve">https://condos.ca/toronto/the-humber-10-wilby-crescent-10-wilby-cres/unit-9-W12049546</t>
  </si>
  <si>
    <t xml:space="preserve">2025-05-14</t>
  </si>
  <si>
    <t xml:space="preserve">W12051218</t>
  </si>
  <si>
    <t xml:space="preserve">https://condos.ca/toronto/the-humber-10-wilby-crescent-10-wilby-cres/unit-204-W12051218</t>
  </si>
  <si>
    <t xml:space="preserve">502</t>
  </si>
  <si>
    <t xml:space="preserve">502 - 10 Wilby Crescent</t>
  </si>
  <si>
    <t xml:space="preserve">2025-04-23</t>
  </si>
  <si>
    <t xml:space="preserve">W12042837</t>
  </si>
  <si>
    <t xml:space="preserve">https://condos.ca/toronto/the-humber-10-wilby-crescent-10-wilby-cres/unit-502-W12042837</t>
  </si>
  <si>
    <t xml:space="preserve">2202</t>
  </si>
  <si>
    <t xml:space="preserve">2202 - 10 Wilby Crescent</t>
  </si>
  <si>
    <t xml:space="preserve">2025-04-22</t>
  </si>
  <si>
    <t xml:space="preserve">W12018074</t>
  </si>
  <si>
    <t xml:space="preserve">https://condos.ca/toronto/the-humber-10-wilby-crescent-10-wilby-cres/unit-2202-W12018074</t>
  </si>
  <si>
    <t xml:space="preserve">1407</t>
  </si>
  <si>
    <t xml:space="preserve">1407 - 10 Wilby Crescent</t>
  </si>
  <si>
    <t xml:space="preserve">2025-04-16</t>
  </si>
  <si>
    <t xml:space="preserve">W12013340</t>
  </si>
  <si>
    <t xml:space="preserve">https://condos.ca/toronto/the-humber-10-wilby-crescent-10-wilby-cres/unit-1407-W12013340</t>
  </si>
  <si>
    <t xml:space="preserve">309</t>
  </si>
  <si>
    <t xml:space="preserve">309 - 10 Wilby Crescent</t>
  </si>
  <si>
    <t xml:space="preserve">2025-04-11</t>
  </si>
  <si>
    <t xml:space="preserve">W12051780</t>
  </si>
  <si>
    <t xml:space="preserve">https://condos.ca/toronto/the-humber-10-wilby-crescent-10-wilby-cres/unit-309-W12051780</t>
  </si>
  <si>
    <t xml:space="preserve">907</t>
  </si>
  <si>
    <t xml:space="preserve">907 - 10 Wilby Crescent</t>
  </si>
  <si>
    <t xml:space="preserve">2026-05-20</t>
  </si>
  <si>
    <t xml:space="preserve">W13150160</t>
  </si>
  <si>
    <t xml:space="preserve">https://condos.ca/toronto/the-humber-10-wilby-crescent-10-wilby-cres/unit-907-W13150160</t>
  </si>
  <si>
    <t xml:space="preserve">ACTIVE asking rent (not a closed lease).</t>
  </si>
  <si>
    <t xml:space="preserve">Part</t>
  </si>
  <si>
    <t xml:space="preserve">2026-05-22</t>
  </si>
  <si>
    <t xml:space="preserve">W13159224</t>
  </si>
  <si>
    <t xml:space="preserve">https://condos.ca/toronto/the-humber-10-wilby-crescent-10-wilby-cres/unit-1407-W13159224</t>
  </si>
  <si>
    <t xml:space="preserve">1907</t>
  </si>
  <si>
    <t xml:space="preserve">1907 - 10 Wilby Crescent</t>
  </si>
  <si>
    <t xml:space="preserve">N</t>
  </si>
  <si>
    <t xml:space="preserve">W12841668</t>
  </si>
  <si>
    <t xml:space="preserve">https://condos.ca/toronto/the-humber-10-wilby-crescent-10-wilby-cres/unit-1907-W12841668</t>
  </si>
  <si>
    <t xml:space="preserve">ACTIVE asking rent (not a closed lease). Leased conditional (99 DOM as of 2026-06-11). Re-verified 2026-06-11 on unit page: 715 sqft*, 2/2, 1 parking, $2,500. MLS bracket 600-699 per 2026-06-09 read — caveat: calc SF above bracket.</t>
  </si>
  <si>
    <t xml:space="preserve">1102</t>
  </si>
  <si>
    <t xml:space="preserve">1102 - 10 Wilby Crescent</t>
  </si>
  <si>
    <t xml:space="preserve">2026-06-05</t>
  </si>
  <si>
    <t xml:space="preserve">W13243038</t>
  </si>
  <si>
    <t xml:space="preserve">https://condos.ca/toronto/the-humber-10-wilby-crescent-10-wilby-cres/unit-1102-W13243038</t>
  </si>
  <si>
    <t xml:space="preserve">ACTIVE asking rent (not a closed lease). Read 2026-06-11 on unit page: 694 sqft*, 2 bed/2 bath, 0 parking, $2,400, 6 days on market (listed 2026-06-05). MLS size range and exposure not displayed (signed-in view).</t>
  </si>
  <si>
    <t xml:space="preserve">1004</t>
  </si>
  <si>
    <t xml:space="preserve">1004 - 10 Wilby Crescent</t>
  </si>
  <si>
    <t xml:space="preserve">2026-06-11</t>
  </si>
  <si>
    <t xml:space="preserve">W13430024</t>
  </si>
  <si>
    <t xml:space="preserve">https://condos.ca/toronto/the-humber-10-wilby-crescent-10-wilby-cres/unit-1004-W13430024</t>
  </si>
  <si>
    <t xml:space="preserve">ACTIVE asking rent (not a closed lease). Read 2026-06-11 on unit page: 588 sqft*, 1+1 bed/1 bath, 0 parking, $2,200, listed 2026-06-11 (1 hr on market). Bracket 600-699 per vipcondos card; exposure not displayed.</t>
  </si>
  <si>
    <t xml:space="preserve">1801-P</t>
  </si>
  <si>
    <t xml:space="preserve">1801-P - 10 Wilby Crescent</t>
  </si>
  <si>
    <t xml:space="preserve">2026-04-06</t>
  </si>
  <si>
    <t xml:space="preserve">W12905894</t>
  </si>
  <si>
    <t xml:space="preserve">https://condos.ca/toronto/the-humber-10-wilby-crescent-10-wilby-cres/unit-1801-P-W12905894</t>
  </si>
  <si>
    <t xml:space="preserve">Room rental of unit 1801 (P/S) — excluded. Re-verified 2026-06-11 on unit page: 1 bed/1 bath, 0 parking, bracket 700-799, leased $1,560 on 2026-04-06 (listed $1,480).</t>
  </si>
  <si>
    <t xml:space="preserve">1801-S</t>
  </si>
  <si>
    <t xml:space="preserve">1801-S - 10 Wilby Crescent</t>
  </si>
  <si>
    <t xml:space="preserve">2025-07-22</t>
  </si>
  <si>
    <t xml:space="preserve">W12194033</t>
  </si>
  <si>
    <t xml:space="preserve">https://condos.ca/toronto/the-humber-10-wilby-crescent-10-wilby-cres/unit-1801-S-W12194033</t>
  </si>
  <si>
    <t xml:space="preserve">Room rental of unit 1801 (P/S) — excluded. Re-verified 2026-06-11 on unit page: 1 bed/1 bath, 0 parking, bracket 700-799, leased $1,280 on 2025-07-22 (listed $1,380).</t>
  </si>
  <si>
    <t xml:space="preserve">Suite Name</t>
  </si>
  <si>
    <t xml:space="preserve">Sq Ft</t>
  </si>
  <si>
    <t xml:space="preserve">1B</t>
  </si>
  <si>
    <t xml:space="preserve">1A</t>
  </si>
  <si>
    <t xml:space="preserve">1D-583</t>
  </si>
  <si>
    <t xml:space="preserve">1D-588</t>
  </si>
  <si>
    <t xml:space="preserve">1D-663</t>
  </si>
  <si>
    <t xml:space="preserve">1D-694</t>
  </si>
  <si>
    <t xml:space="preserve">1DX-751</t>
  </si>
  <si>
    <t xml:space="preserve">2A-694</t>
  </si>
  <si>
    <t xml:space="preserve">S/W/NE</t>
  </si>
  <si>
    <t xml:space="preserve">2B-715</t>
  </si>
  <si>
    <t xml:space="preserve">N/NE</t>
  </si>
  <si>
    <t xml:space="preserve">2C-788</t>
  </si>
  <si>
    <t xml:space="preserve">2D-797</t>
  </si>
  <si>
    <t xml:space="preserve">2E-816</t>
  </si>
  <si>
    <t xml:space="preserve">3A-988</t>
  </si>
  <si>
    <t xml:space="preserve">3B-1135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</si>
</sst>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yyyy\-mm\-dd"/>
    <numFmt numFmtId="167" formatCode="#,##0"/>
    <numFmt numFmtId="168" formatCode="\$#,##0"/>
    <numFmt numFmtId="169" formatCode="\$0.00"/>
    <numFmt numFmtId="170" formatCode="0.0%"/>
    <numFmt numFmtId="171" formatCode="\$0"/>
    <numFmt numFmtId="172" formatCode="0%"/>
    <numFmt numFmtId="173" formatCode="[$$-409]#,##0.00;[RED]\-[$$-409]#,##0.00"/>
  </numFmts>
  <fonts count="3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11"/>
      <color theme="1"/>
      <name val="Calibri"/>
      <family val="2"/>
      <charset val="1"/>
    </font>
    <font>
      <sz val="10"/>
      <color rgb="FF00800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1B5E20"/>
      <name val="Arial"/>
      <family val="0"/>
      <charset val="1"/>
    </font>
    <font>
      <b val="true"/>
      <sz val="18"/>
      <color rgb="FF1B5E2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9"/>
      <color rgb="FF006100"/>
      <name val="Arial"/>
      <family val="0"/>
      <charset val="1"/>
    </font>
    <font>
      <sz val="9"/>
      <color rgb="FF9C6500"/>
      <name val="Arial"/>
      <family val="0"/>
      <charset val="1"/>
    </font>
    <font>
      <sz val="9"/>
      <color rgb="FF9C0006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sz val="11"/>
      <color rgb="FF000000"/>
      <name val="Cambria"/>
      <family val="0"/>
      <charset val="1"/>
    </font>
    <font>
      <sz val="8"/>
      <color rgb="FF595959"/>
      <name val="Arial"/>
      <family val="0"/>
      <charset val="1"/>
    </font>
    <font>
      <b val="true"/>
      <sz val="11"/>
      <color rgb="FF000000"/>
      <name val="Cambria"/>
      <family val="0"/>
      <charset val="1"/>
    </font>
    <font>
      <sz val="8"/>
      <color rgb="FF008000"/>
      <name val="Arial"/>
      <family val="0"/>
      <charset val="1"/>
    </font>
    <font>
      <sz val="11"/>
      <color rgb="FF0000FF"/>
      <name val="Cambria"/>
      <family val="0"/>
      <charset val="1"/>
    </font>
    <font>
      <b val="true"/>
      <sz val="11"/>
      <color rgb="FF1B5E20"/>
      <name val="Arial"/>
      <family val="0"/>
      <charset val="1"/>
    </font>
    <font>
      <sz val="1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CCECFF"/>
        <bgColor rgb="FFD9E1F2"/>
      </patternFill>
    </fill>
    <fill>
      <patternFill patternType="solid">
        <fgColor rgb="FFFFF2CC"/>
        <bgColor rgb="FFFFFFCC"/>
      </patternFill>
    </fill>
    <fill>
      <patternFill patternType="solid">
        <fgColor rgb="FFFFFFCC"/>
        <bgColor rgb="FFFFF2CC"/>
      </patternFill>
    </fill>
    <fill>
      <patternFill patternType="solid">
        <fgColor rgb="FF2E7D32"/>
        <bgColor rgb="FF1B5E20"/>
      </patternFill>
    </fill>
    <fill>
      <patternFill patternType="solid">
        <fgColor rgb="FFE8F5E9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FCE4D6"/>
      </patternFill>
    </fill>
    <fill>
      <patternFill patternType="solid">
        <fgColor rgb="FFD9E1F2"/>
        <bgColor rgb="FFCCECFF"/>
      </patternFill>
    </fill>
    <fill>
      <patternFill patternType="solid">
        <fgColor rgb="FFE2EFDA"/>
        <bgColor rgb="FFE8F5E9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0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1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11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0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0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3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33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59595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E2EFDA"/>
      <rgbColor rgb="FF808080"/>
      <rgbColor rgb="FF9999FF"/>
      <rgbColor rgb="FF993366"/>
      <rgbColor rgb="FFFFFFCC"/>
      <rgbColor rgb="FFCCEC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6EFCE"/>
      <rgbColor rgb="FFFFEB9C"/>
      <rgbColor rgb="FFFFF2CC"/>
      <rgbColor rgb="FFFCE4D6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2E7D32"/>
      <rgbColor rgb="FF006100"/>
      <rgbColor rgb="FF333300"/>
      <rgbColor rgb="FF993300"/>
      <rgbColor rgb="FF993366"/>
      <rgbColor rgb="FF333399"/>
      <rgbColor rgb="FF1B5E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A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.7"/>
    <col collapsed="false" customWidth="true" hidden="false" outlineLevel="0" max="2" min="2" style="1" width="33.3"/>
    <col collapsed="false" customWidth="true" hidden="false" outlineLevel="0" max="3" min="3" style="1" width="10.71"/>
    <col collapsed="false" customWidth="true" hidden="false" outlineLevel="0" max="4" min="4" style="1" width="12"/>
    <col collapsed="false" customWidth="true" hidden="false" outlineLevel="0" max="5" min="5" style="1" width="9"/>
    <col collapsed="false" customWidth="true" hidden="false" outlineLevel="0" max="6" min="6" style="1" width="11"/>
    <col collapsed="false" customWidth="true" hidden="false" outlineLevel="0" max="7" min="7" style="1" width="10"/>
    <col collapsed="false" customWidth="true" hidden="false" outlineLevel="0" max="9" min="8" style="1" width="11"/>
    <col collapsed="false" customWidth="true" hidden="false" outlineLevel="0" max="10" min="10" style="1" width="2.7"/>
    <col collapsed="false" customWidth="true" hidden="false" outlineLevel="0" max="11" min="11" style="1" width="33.3"/>
    <col collapsed="false" customWidth="true" hidden="false" outlineLevel="0" max="12" min="12" style="1" width="11.7"/>
    <col collapsed="false" customWidth="true" hidden="false" outlineLevel="0" max="27" min="13" style="1" width="9"/>
  </cols>
  <sheetData>
    <row r="2" customFormat="false" ht="15" hidden="false" customHeight="true" outlineLevel="0" collapsed="false">
      <c r="B2" s="2"/>
      <c r="G2" s="3" t="s">
        <v>0</v>
      </c>
    </row>
    <row r="3" customFormat="false" ht="25.5" hidden="false" customHeight="true" outlineLevel="0" collapsed="false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5" customFormat="false" ht="15" hidden="false" customHeight="true" outlineLevel="0" collapsed="false">
      <c r="B5" s="5" t="s">
        <v>9</v>
      </c>
      <c r="C5" s="6"/>
      <c r="D5" s="6"/>
      <c r="E5" s="6"/>
      <c r="F5" s="6"/>
      <c r="G5" s="6"/>
      <c r="H5" s="6"/>
      <c r="I5" s="6"/>
    </row>
    <row r="6" customFormat="false" ht="15" hidden="false" customHeight="true" outlineLevel="0" collapsed="false">
      <c r="B6" s="1" t="s">
        <v>10</v>
      </c>
      <c r="C6" s="7" t="n">
        <f aca="false">'Building Summary'!E4</f>
        <v>2023</v>
      </c>
      <c r="D6" s="8" t="n">
        <f aca="false">IFERROR(AVERAGEIFS('Raw Data'!$J:$J,'Raw Data'!$K:$K,$B6,'Raw Data'!$A:$A,1),"")</f>
        <v>45996</v>
      </c>
      <c r="F6" s="9" t="n">
        <f aca="false">'Building Summary'!J4</f>
        <v>22</v>
      </c>
      <c r="G6" s="10" t="n">
        <f aca="false">'Building Summary'!K4</f>
        <v>761.727272727273</v>
      </c>
      <c r="H6" s="11" t="n">
        <f aca="false">IFERROR(AVERAGEIFS('Raw Data'!$D:$D,'Raw Data'!$K:$K,$B6,'Raw Data'!$A:$A,1),"")</f>
        <v>2322.98394953979</v>
      </c>
      <c r="I6" s="12" t="n">
        <f aca="false">IFERROR(AVERAGEIFS('Raw Data'!$F:$F,'Raw Data'!$K:$K,$B6,'Raw Data'!$A:$A,1),"")</f>
        <v>3.09733174056966</v>
      </c>
    </row>
    <row r="7" customFormat="false" ht="15" hidden="false" customHeight="true" outlineLevel="0" collapsed="false">
      <c r="C7" s="7"/>
      <c r="D7" s="8"/>
      <c r="F7" s="9"/>
      <c r="G7" s="10"/>
      <c r="H7" s="11"/>
      <c r="I7" s="12"/>
    </row>
    <row r="8" customFormat="false" ht="15" hidden="false" customHeight="true" outlineLevel="0" collapsed="false">
      <c r="B8" s="3" t="s">
        <v>11</v>
      </c>
      <c r="F8" s="13" t="n">
        <f aca="false">F6</f>
        <v>22</v>
      </c>
      <c r="G8" s="14" t="n">
        <f aca="false">G6</f>
        <v>761.727272727273</v>
      </c>
      <c r="H8" s="15" t="n">
        <f aca="false">H6</f>
        <v>2322.98394953979</v>
      </c>
      <c r="I8" s="16" t="n">
        <f aca="false">I6</f>
        <v>3.09733174056966</v>
      </c>
    </row>
    <row r="9" customFormat="false" ht="15" hidden="false" customHeight="true" outlineLevel="0" collapsed="false">
      <c r="B9" s="1" t="s">
        <v>12</v>
      </c>
      <c r="H9" s="17" t="n">
        <f aca="false">Data_Summary!C4</f>
        <v>0.133</v>
      </c>
      <c r="I9" s="17" t="n">
        <f aca="false">Data_Summary!C4</f>
        <v>0.133</v>
      </c>
    </row>
    <row r="10" customFormat="false" ht="15" hidden="false" customHeight="true" outlineLevel="0" collapsed="false">
      <c r="B10" s="5" t="s">
        <v>13</v>
      </c>
      <c r="C10" s="6"/>
      <c r="D10" s="6"/>
      <c r="E10" s="6"/>
      <c r="F10" s="6"/>
      <c r="G10" s="18" t="n">
        <f aca="false">G8</f>
        <v>761.727272727273</v>
      </c>
      <c r="H10" s="19" t="n">
        <f aca="false">IFERROR(H8*(1+H9),"")</f>
        <v>2631.94081482858</v>
      </c>
      <c r="I10" s="20" t="n">
        <f aca="false">IFERROR(I8*(1+I9),"")</f>
        <v>3.50927686206543</v>
      </c>
    </row>
    <row r="12" customFormat="false" ht="15" hidden="false" customHeight="true" outlineLevel="0" collapsed="false">
      <c r="B12" s="21" t="s">
        <v>14</v>
      </c>
      <c r="C12" s="22"/>
      <c r="D12" s="22"/>
      <c r="E12" s="22"/>
      <c r="F12" s="22"/>
      <c r="G12" s="23" t="n">
        <f aca="false">G10</f>
        <v>761.727272727273</v>
      </c>
      <c r="H12" s="24" t="n">
        <f aca="false">H10</f>
        <v>2631.94081482858</v>
      </c>
      <c r="I12" s="25" t="n">
        <f aca="false">I10</f>
        <v>3.50927686206543</v>
      </c>
    </row>
    <row r="15" customFormat="false" ht="15" hidden="false" customHeight="true" outlineLevel="0" collapsed="false">
      <c r="B15" s="5" t="s">
        <v>15</v>
      </c>
      <c r="C15" s="6"/>
      <c r="D15" s="6"/>
      <c r="E15" s="6"/>
      <c r="F15" s="6"/>
      <c r="G15" s="6"/>
      <c r="H15" s="6"/>
      <c r="I15" s="6"/>
    </row>
    <row r="16" customFormat="false" ht="15" hidden="false" customHeight="true" outlineLevel="0" collapsed="false">
      <c r="B16" s="26" t="s">
        <v>16</v>
      </c>
      <c r="C16" s="7"/>
      <c r="D16" s="8"/>
      <c r="F16" s="9"/>
      <c r="G16" s="10"/>
      <c r="H16" s="11"/>
      <c r="I16" s="12"/>
    </row>
    <row r="17" customFormat="false" ht="15" hidden="false" customHeight="true" outlineLevel="0" collapsed="false">
      <c r="B17" s="26" t="s">
        <v>17</v>
      </c>
      <c r="C17" s="7"/>
      <c r="D17" s="8"/>
      <c r="F17" s="9"/>
      <c r="G17" s="10"/>
      <c r="H17" s="11"/>
      <c r="I17" s="12"/>
    </row>
    <row r="18" customFormat="false" ht="15" hidden="false" customHeight="true" outlineLevel="0" collapsed="false">
      <c r="B18" s="26" t="s">
        <v>18</v>
      </c>
    </row>
    <row r="19" customFormat="false" ht="15" hidden="false" customHeight="true" outlineLevel="0" collapsed="false">
      <c r="B19" s="3" t="s">
        <v>11</v>
      </c>
      <c r="C19" s="26" t="s">
        <v>19</v>
      </c>
      <c r="F19" s="13"/>
      <c r="G19" s="14"/>
      <c r="H19" s="15"/>
      <c r="I19" s="16"/>
    </row>
    <row r="20" customFormat="false" ht="15" hidden="false" customHeight="true" outlineLevel="0" collapsed="false">
      <c r="B20" s="1" t="s">
        <v>12</v>
      </c>
      <c r="H20" s="17"/>
      <c r="I20" s="17"/>
    </row>
    <row r="21" customFormat="false" ht="15" hidden="false" customHeight="true" outlineLevel="0" collapsed="false">
      <c r="B21" s="5" t="s">
        <v>13</v>
      </c>
      <c r="C21" s="6"/>
      <c r="D21" s="6"/>
      <c r="E21" s="6"/>
      <c r="F21" s="6"/>
      <c r="G21" s="18"/>
      <c r="H21" s="19"/>
      <c r="I21" s="20"/>
    </row>
    <row r="23" customFormat="false" ht="15" hidden="false" customHeight="true" outlineLevel="0" collapsed="false">
      <c r="B23" s="3" t="s">
        <v>20</v>
      </c>
      <c r="F23" s="13" t="n">
        <f aca="false">F6</f>
        <v>22</v>
      </c>
      <c r="G23" s="14" t="n">
        <f aca="false">G6</f>
        <v>761.727272727273</v>
      </c>
      <c r="H23" s="15" t="n">
        <f aca="false">H6</f>
        <v>2322.98394953979</v>
      </c>
      <c r="I23" s="16" t="n">
        <f aca="false">I6</f>
        <v>3.09733174056966</v>
      </c>
    </row>
    <row r="24" customFormat="false" ht="15" hidden="false" customHeight="true" outlineLevel="0" collapsed="false">
      <c r="B24" s="1" t="s">
        <v>12</v>
      </c>
      <c r="H24" s="17" t="n">
        <f aca="false">Data_Summary!C4</f>
        <v>0.133</v>
      </c>
      <c r="I24" s="17" t="n">
        <f aca="false">Data_Summary!C4</f>
        <v>0.133</v>
      </c>
    </row>
    <row r="25" customFormat="false" ht="15" hidden="false" customHeight="true" outlineLevel="0" collapsed="false">
      <c r="B25" s="5" t="s">
        <v>13</v>
      </c>
      <c r="C25" s="6"/>
      <c r="D25" s="6"/>
      <c r="E25" s="6"/>
      <c r="F25" s="6"/>
      <c r="G25" s="18" t="n">
        <f aca="false">G23</f>
        <v>761.727272727273</v>
      </c>
      <c r="H25" s="19" t="n">
        <f aca="false">IFERROR(H23*(1+H24),"")</f>
        <v>2631.94081482858</v>
      </c>
      <c r="I25" s="20" t="n">
        <f aca="false">IFERROR(I23*(1+I24),"")</f>
        <v>3.50927686206543</v>
      </c>
    </row>
    <row r="27" customFormat="false" ht="15" hidden="false" customHeight="true" outlineLevel="0" collapsed="false">
      <c r="L27" s="3" t="s">
        <v>21</v>
      </c>
      <c r="P27" s="3" t="s">
        <v>22</v>
      </c>
      <c r="T27" s="3" t="s">
        <v>23</v>
      </c>
      <c r="X27" s="3" t="s">
        <v>24</v>
      </c>
    </row>
    <row r="28" customFormat="false" ht="25.5" hidden="false" customHeight="true" outlineLevel="0" collapsed="false">
      <c r="K28" s="27" t="s">
        <v>1</v>
      </c>
      <c r="L28" s="4" t="s">
        <v>25</v>
      </c>
      <c r="M28" s="4" t="s">
        <v>26</v>
      </c>
      <c r="N28" s="4" t="s">
        <v>27</v>
      </c>
      <c r="O28" s="4" t="s">
        <v>28</v>
      </c>
      <c r="P28" s="4" t="s">
        <v>25</v>
      </c>
      <c r="Q28" s="4" t="s">
        <v>26</v>
      </c>
      <c r="R28" s="4" t="s">
        <v>27</v>
      </c>
      <c r="S28" s="4" t="s">
        <v>28</v>
      </c>
      <c r="T28" s="4" t="s">
        <v>25</v>
      </c>
      <c r="U28" s="4" t="s">
        <v>26</v>
      </c>
      <c r="V28" s="4" t="s">
        <v>27</v>
      </c>
      <c r="W28" s="4" t="s">
        <v>28</v>
      </c>
      <c r="X28" s="4" t="s">
        <v>25</v>
      </c>
      <c r="Y28" s="4" t="s">
        <v>26</v>
      </c>
      <c r="Z28" s="4" t="s">
        <v>27</v>
      </c>
      <c r="AA28" s="4" t="s">
        <v>28</v>
      </c>
    </row>
    <row r="29" customFormat="false" ht="15" hidden="false" customHeight="true" outlineLevel="0" collapsed="false">
      <c r="K29" s="1" t="s">
        <v>10</v>
      </c>
      <c r="L29" s="9" t="n">
        <f aca="false">COUNTIFS('Raw Data'!$Q:$Q,"1",'Raw Data'!$A:$A,1,'Raw Data'!$K:$K,"The Humber")</f>
        <v>3</v>
      </c>
      <c r="M29" s="10" t="n">
        <f aca="false">IFERROR(AVERAGEIFS('Raw Data'!$B:$B,'Raw Data'!$Q:$Q,"1",'Raw Data'!$A:$A,1,'Raw Data'!$K:$K,"The Humber"),"")</f>
        <v>596.666666666667</v>
      </c>
      <c r="N29" s="11" t="n">
        <f aca="false">IFERROR(AVERAGEIFS('Raw Data'!$D:$D,'Raw Data'!$Q:$Q,"1",'Raw Data'!$A:$A,1,'Raw Data'!$K:$K,"The Humber"),"")</f>
        <v>1967.33209728387</v>
      </c>
      <c r="O29" s="12" t="n">
        <f aca="false">IFERROR(AVERAGEIFS('Raw Data'!$F:$F,'Raw Data'!$Q:$Q,"1",'Raw Data'!$A:$A,1,'Raw Data'!$K:$K,"The Humber"),"")</f>
        <v>3.3110991234926</v>
      </c>
      <c r="P29" s="9" t="n">
        <f aca="false">COUNTIFS('Raw Data'!$Q:$Q,"1+1",'Raw Data'!$A:$A,1,'Raw Data'!$K:$K,"The Humber")</f>
        <v>7</v>
      </c>
      <c r="Q29" s="10" t="n">
        <f aca="false">IFERROR(AVERAGEIFS('Raw Data'!$B:$B,'Raw Data'!$Q:$Q,"1+1",'Raw Data'!$A:$A,1,'Raw Data'!$K:$K,"The Humber"),"")</f>
        <v>651.571428571429</v>
      </c>
      <c r="R29" s="11" t="n">
        <f aca="false">IFERROR(AVERAGEIFS('Raw Data'!$D:$D,'Raw Data'!$Q:$Q,"1+1",'Raw Data'!$A:$A,1,'Raw Data'!$K:$K,"The Humber"),"")</f>
        <v>2071.7137559788</v>
      </c>
      <c r="S29" s="12" t="n">
        <f aca="false">IFERROR(AVERAGEIFS('Raw Data'!$F:$F,'Raw Data'!$Q:$Q,"1+1",'Raw Data'!$A:$A,1,'Raw Data'!$K:$K,"The Humber"),"")</f>
        <v>3.20641220513583</v>
      </c>
      <c r="T29" s="9" t="n">
        <f aca="false">COUNTIFS('Raw Data'!$H:$H,"2",'Raw Data'!$A:$A,1,'Raw Data'!$K:$K,"The Humber")</f>
        <v>7</v>
      </c>
      <c r="U29" s="10" t="n">
        <f aca="false">IFERROR(AVERAGEIFS('Raw Data'!$B:$B,'Raw Data'!$H:$H,"2",'Raw Data'!$A:$A,1,'Raw Data'!$K:$K,"The Humber"),"")</f>
        <v>760</v>
      </c>
      <c r="V29" s="11" t="n">
        <f aca="false">IFERROR(AVERAGEIFS('Raw Data'!$D:$D,'Raw Data'!$H:$H,"2",'Raw Data'!$A:$A,1,'Raw Data'!$K:$K,"The Humber"),"")</f>
        <v>2354.42751195761</v>
      </c>
      <c r="W29" s="12" t="n">
        <f aca="false">IFERROR(AVERAGEIFS('Raw Data'!$F:$F,'Raw Data'!$H:$H,"2",'Raw Data'!$A:$A,1,'Raw Data'!$K:$K,"The Humber"),"")</f>
        <v>3.10652158273172</v>
      </c>
      <c r="X29" s="9" t="n">
        <f aca="false">COUNTIFS('Raw Data'!$H:$H,"3",'Raw Data'!$A:$A,1,'Raw Data'!$K:$K,"The Humber")</f>
        <v>5</v>
      </c>
      <c r="Y29" s="10" t="n">
        <f aca="false">IFERROR(AVERAGEIFS('Raw Data'!$B:$B,'Raw Data'!$H:$H,"3",'Raw Data'!$A:$A,1,'Raw Data'!$K:$K,"The Humber"),"")</f>
        <v>1017.4</v>
      </c>
      <c r="Z29" s="11" t="n">
        <f aca="false">IFERROR(AVERAGEIFS('Raw Data'!$D:$D,'Raw Data'!$H:$H,"3",'Raw Data'!$A:$A,1,'Raw Data'!$K:$K,"The Humber"),"")</f>
        <v>2844.13234449377</v>
      </c>
      <c r="AA29" s="12" t="n">
        <f aca="false">IFERROR(AVERAGEIFS('Raw Data'!$F:$F,'Raw Data'!$H:$H,"3",'Raw Data'!$A:$A,1,'Raw Data'!$K:$K,"The Humber"),"")</f>
        <v>2.80349288139639</v>
      </c>
    </row>
    <row r="31" customFormat="false" ht="15" hidden="false" customHeight="true" outlineLevel="0" collapsed="false">
      <c r="K31" s="3" t="s">
        <v>29</v>
      </c>
      <c r="L31" s="9" t="n">
        <f aca="false">COUNTIFS('Raw Data'!$Q:$Q,"1",'Raw Data'!$A:$A,1)</f>
        <v>3</v>
      </c>
      <c r="M31" s="10" t="n">
        <f aca="false">IFERROR(AVERAGEIFS('Raw Data'!$B:$B,'Raw Data'!$Q:$Q,"1",'Raw Data'!$A:$A,1),"")</f>
        <v>596.666666666667</v>
      </c>
      <c r="N31" s="11" t="n">
        <f aca="false">IFERROR(AVERAGEIFS('Raw Data'!$D:$D,'Raw Data'!$Q:$Q,"1",'Raw Data'!$A:$A,1),"")</f>
        <v>1967.33209728387</v>
      </c>
      <c r="O31" s="12" t="n">
        <f aca="false">IFERROR(AVERAGEIFS('Raw Data'!$F:$F,'Raw Data'!$Q:$Q,"1",'Raw Data'!$A:$A,1),"")</f>
        <v>3.3110991234926</v>
      </c>
      <c r="P31" s="9" t="n">
        <f aca="false">COUNTIFS('Raw Data'!$Q:$Q,"1+1",'Raw Data'!$A:$A,1)</f>
        <v>7</v>
      </c>
      <c r="Q31" s="10" t="n">
        <f aca="false">IFERROR(AVERAGEIFS('Raw Data'!$B:$B,'Raw Data'!$Q:$Q,"1+1",'Raw Data'!$A:$A,1),"")</f>
        <v>651.571428571429</v>
      </c>
      <c r="R31" s="11" t="n">
        <f aca="false">IFERROR(AVERAGEIFS('Raw Data'!$D:$D,'Raw Data'!$Q:$Q,"1+1",'Raw Data'!$A:$A,1),"")</f>
        <v>2071.7137559788</v>
      </c>
      <c r="S31" s="12" t="n">
        <f aca="false">IFERROR(AVERAGEIFS('Raw Data'!$F:$F,'Raw Data'!$Q:$Q,"1+1",'Raw Data'!$A:$A,1),"")</f>
        <v>3.20641220513583</v>
      </c>
      <c r="T31" s="9" t="n">
        <f aca="false">COUNTIFS('Raw Data'!$H:$H,"2",'Raw Data'!$A:$A,1)</f>
        <v>7</v>
      </c>
      <c r="U31" s="10" t="n">
        <f aca="false">IFERROR(AVERAGEIFS('Raw Data'!$B:$B,'Raw Data'!$H:$H,"2",'Raw Data'!$A:$A,1),"")</f>
        <v>760</v>
      </c>
      <c r="V31" s="11" t="n">
        <f aca="false">IFERROR(AVERAGEIFS('Raw Data'!$D:$D,'Raw Data'!$H:$H,"2",'Raw Data'!$A:$A,1),"")</f>
        <v>2354.42751195761</v>
      </c>
      <c r="W31" s="12" t="n">
        <f aca="false">IFERROR(AVERAGEIFS('Raw Data'!$F:$F,'Raw Data'!$H:$H,"2",'Raw Data'!$A:$A,1),"")</f>
        <v>3.10652158273172</v>
      </c>
      <c r="X31" s="9" t="n">
        <f aca="false">COUNTIFS('Raw Data'!$H:$H,"3",'Raw Data'!$A:$A,1)</f>
        <v>5</v>
      </c>
      <c r="Y31" s="10" t="n">
        <f aca="false">IFERROR(AVERAGEIFS('Raw Data'!$B:$B,'Raw Data'!$H:$H,"3",'Raw Data'!$A:$A,1),"")</f>
        <v>1017.4</v>
      </c>
      <c r="Z31" s="11" t="n">
        <f aca="false">IFERROR(AVERAGEIFS('Raw Data'!$D:$D,'Raw Data'!$H:$H,"3",'Raw Data'!$A:$A,1),"")</f>
        <v>2844.13234449377</v>
      </c>
      <c r="AA31" s="12" t="n">
        <f aca="false">IFERROR(AVERAGEIFS('Raw Data'!$F:$F,'Raw Data'!$H:$H,"3",'Raw Data'!$A:$A,1),"")</f>
        <v>2.80349288139639</v>
      </c>
    </row>
    <row r="32" customFormat="false" ht="15" hidden="false" customHeight="true" outlineLevel="0" collapsed="false">
      <c r="K32" s="1" t="s">
        <v>30</v>
      </c>
      <c r="O32" s="12" t="n">
        <f aca="false">SUMPRODUCT(MIN(IF((('Raw Data'!$Q$2:$Q$34="1")*('Raw Data'!$A$2:$A$34=1)),'Raw Data'!$F$2:$F$34)))</f>
        <v>3.02538967685123</v>
      </c>
      <c r="S32" s="12" t="n">
        <f aca="false">SUMPRODUCT(MIN(IF((('Raw Data'!$Q$2:$Q$34="1+1")*('Raw Data'!$A$2:$A$34=1)),'Raw Data'!$F$2:$F$34)))</f>
        <v>2.79627163781625</v>
      </c>
      <c r="W32" s="12" t="n">
        <f aca="false">SUMPRODUCT(MIN(IF((('Raw Data'!$H$2:$H$34="2")*('Raw Data'!$A$2:$A$34=1)),'Raw Data'!$F$2:$F$34)))</f>
        <v>2.94117647058824</v>
      </c>
      <c r="AA32" s="12" t="n">
        <f aca="false">SUMPRODUCT(MIN(IF((('Raw Data'!$H$2:$H$34="3")*('Raw Data'!$A$2:$A$34=1)),'Raw Data'!$F$2:$F$34)))</f>
        <v>2.52657747190943</v>
      </c>
    </row>
    <row r="33" customFormat="false" ht="15" hidden="false" customHeight="true" outlineLevel="0" collapsed="false">
      <c r="K33" s="1" t="s">
        <v>31</v>
      </c>
      <c r="O33" s="12" t="n">
        <f aca="false">SUMPRODUCT(MAX(IF((('Raw Data'!$Q$2:$Q$34="1")*('Raw Data'!$A$2:$A$34=1)),'Raw Data'!$F$2:$F$34)))</f>
        <v>3.71882271693743</v>
      </c>
      <c r="S33" s="12" t="n">
        <f aca="false">SUMPRODUCT(MAX(IF((('Raw Data'!$Q$2:$Q$34="1+1")*('Raw Data'!$A$2:$A$34=1)),'Raw Data'!$F$2:$F$34)))</f>
        <v>3.57142857142857</v>
      </c>
      <c r="W33" s="12" t="n">
        <f aca="false">SUMPRODUCT(MAX(IF((('Raw Data'!$H$2:$H$34="2")*('Raw Data'!$A$2:$A$34=1)),'Raw Data'!$F$2:$F$34)))</f>
        <v>3.33957554843978</v>
      </c>
      <c r="AA33" s="12" t="n">
        <f aca="false">SUMPRODUCT(MAX(IF((('Raw Data'!$H$2:$H$34="3")*('Raw Data'!$A$2:$A$34=1)),'Raw Data'!$F$2:$F$34)))</f>
        <v>3.1049245249162</v>
      </c>
    </row>
    <row r="35" customFormat="false" ht="15" hidden="false" customHeight="true" outlineLevel="0" collapsed="false">
      <c r="K35" s="1" t="s">
        <v>12</v>
      </c>
      <c r="O35" s="17" t="n">
        <f aca="false">Data_Summary!C4</f>
        <v>0.133</v>
      </c>
      <c r="S35" s="17" t="n">
        <f aca="false">Data_Summary!C4</f>
        <v>0.133</v>
      </c>
      <c r="W35" s="17" t="n">
        <f aca="false">Data_Summary!C4</f>
        <v>0.133</v>
      </c>
      <c r="AA35" s="17" t="n">
        <f aca="false">Data_Summary!C4</f>
        <v>0.133</v>
      </c>
    </row>
    <row r="36" customFormat="false" ht="15" hidden="false" customHeight="true" outlineLevel="0" collapsed="false">
      <c r="K36" s="5" t="s">
        <v>29</v>
      </c>
      <c r="L36" s="6"/>
      <c r="M36" s="6"/>
      <c r="N36" s="19" t="n">
        <f aca="false">IFERROR(N31*(1+O35),"")</f>
        <v>2228.98726622263</v>
      </c>
      <c r="O36" s="20" t="n">
        <f aca="false">IFERROR(O31*(1+O35),"")</f>
        <v>3.75147530691712</v>
      </c>
      <c r="P36" s="6"/>
      <c r="Q36" s="6"/>
      <c r="R36" s="19" t="n">
        <f aca="false">IFERROR(R31*(1+S35),"")</f>
        <v>2347.25168552398</v>
      </c>
      <c r="S36" s="20" t="n">
        <f aca="false">IFERROR(S31*(1+S35),"")</f>
        <v>3.63286502841889</v>
      </c>
      <c r="T36" s="6"/>
      <c r="U36" s="6"/>
      <c r="V36" s="19" t="n">
        <f aca="false">IFERROR(V31*(1+W35),"")</f>
        <v>2667.56637104797</v>
      </c>
      <c r="W36" s="20" t="n">
        <f aca="false">IFERROR(W31*(1+W35),"")</f>
        <v>3.51968895323504</v>
      </c>
      <c r="X36" s="6"/>
      <c r="Y36" s="6"/>
      <c r="Z36" s="19" t="n">
        <f aca="false">IFERROR(Z31*(1+AA35),"")</f>
        <v>3222.40194631144</v>
      </c>
      <c r="AA36" s="20" t="n">
        <f aca="false">IFERROR(AA31*(1+AA35),"")</f>
        <v>3.17635743462211</v>
      </c>
    </row>
    <row r="37" customFormat="false" ht="15" hidden="false" customHeight="true" outlineLevel="0" collapsed="false">
      <c r="K37" s="28" t="s">
        <v>32</v>
      </c>
      <c r="L37" s="29" t="n">
        <f aca="false">IFERROR((N31*0.3+R31*0.16+V31*0.45+Z31*0.09)*446,"")</f>
        <v>997763.602201101</v>
      </c>
    </row>
    <row r="39" customFormat="false" ht="15" hidden="false" customHeight="true" outlineLevel="0" collapsed="false">
      <c r="K39" s="30" t="s">
        <v>33</v>
      </c>
      <c r="L39" s="28"/>
      <c r="M39" s="28"/>
      <c r="N39" s="29" t="n">
        <f aca="false">IFERROR(N36,"")</f>
        <v>2228.98726622263</v>
      </c>
      <c r="O39" s="28"/>
      <c r="P39" s="28"/>
      <c r="Q39" s="28"/>
      <c r="R39" s="29" t="n">
        <f aca="false">IFERROR(R36,"")</f>
        <v>2347.25168552398</v>
      </c>
      <c r="S39" s="28"/>
      <c r="T39" s="28"/>
      <c r="U39" s="28"/>
      <c r="V39" s="29" t="n">
        <f aca="false">IFERROR(V36,"")</f>
        <v>2667.56637104797</v>
      </c>
      <c r="W39" s="28"/>
      <c r="X39" s="28"/>
      <c r="Y39" s="28"/>
      <c r="Z39" s="29" t="n">
        <f aca="false">IFERROR(Z36,"")</f>
        <v>3222.40194631144</v>
      </c>
      <c r="AA39" s="28"/>
    </row>
    <row r="40" customFormat="false" ht="15" hidden="false" customHeight="true" outlineLevel="0" collapsed="false">
      <c r="K40" s="28" t="s">
        <v>34</v>
      </c>
      <c r="L40" s="29" t="n">
        <f aca="false">IFERROR((N39*0.3+R39*0.16+V39*0.45+Z39*0.09)*446,"")</f>
        <v>1130466.16129385</v>
      </c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2" customFormat="false" ht="15" hidden="false" customHeight="true" outlineLevel="0" collapsed="false">
      <c r="K42" s="30" t="s">
        <v>35</v>
      </c>
      <c r="L42" s="28"/>
      <c r="M42" s="28"/>
      <c r="N42" s="29" t="n">
        <f aca="false">IFERROR(O36*M31,"")</f>
        <v>2238.38026646055</v>
      </c>
      <c r="O42" s="28"/>
      <c r="P42" s="28"/>
      <c r="Q42" s="28"/>
      <c r="R42" s="29" t="n">
        <f aca="false">IFERROR(S36*Q31,"")</f>
        <v>2367.07105637408</v>
      </c>
      <c r="S42" s="28"/>
      <c r="T42" s="28"/>
      <c r="U42" s="28"/>
      <c r="V42" s="29" t="n">
        <f aca="false">IFERROR(W36*U31,"")</f>
        <v>2674.96360445863</v>
      </c>
      <c r="W42" s="28"/>
      <c r="X42" s="28"/>
      <c r="Y42" s="28"/>
      <c r="Z42" s="29" t="n">
        <f aca="false">IFERROR(AA36*Y31,"")</f>
        <v>3231.62605398453</v>
      </c>
      <c r="AA42" s="28"/>
    </row>
    <row r="43" customFormat="false" ht="15" hidden="false" customHeight="true" outlineLevel="0" collapsed="false">
      <c r="K43" s="28" t="s">
        <v>36</v>
      </c>
      <c r="L43" s="29" t="n">
        <f aca="false">IFERROR((N42*0.3+R42*0.16+V42*0.45+Z42*0.09)*446,"")</f>
        <v>1134992.13545706</v>
      </c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5" customFormat="false" ht="15" hidden="false" customHeight="true" outlineLevel="0" collapsed="false">
      <c r="K45" s="30" t="s">
        <v>37</v>
      </c>
      <c r="L45" s="28"/>
      <c r="M45" s="28"/>
      <c r="N45" s="29" t="n">
        <f aca="false">IFERROR(AVERAGE(N39,N42),"")</f>
        <v>2233.68376634159</v>
      </c>
      <c r="O45" s="28"/>
      <c r="P45" s="28"/>
      <c r="Q45" s="28"/>
      <c r="R45" s="29" t="n">
        <f aca="false">IFERROR(AVERAGE(R39,R42),"")</f>
        <v>2357.16137094903</v>
      </c>
      <c r="S45" s="28"/>
      <c r="T45" s="28"/>
      <c r="U45" s="28"/>
      <c r="V45" s="29" t="n">
        <f aca="false">IFERROR(AVERAGE(V39,V42),"")</f>
        <v>2671.2649877533</v>
      </c>
      <c r="W45" s="28"/>
      <c r="X45" s="28"/>
      <c r="Y45" s="28"/>
      <c r="Z45" s="29" t="n">
        <f aca="false">IFERROR(AVERAGE(Z39,Z42),"")</f>
        <v>3227.01400014798</v>
      </c>
      <c r="AA45" s="28"/>
    </row>
    <row r="46" customFormat="false" ht="15" hidden="false" customHeight="true" outlineLevel="0" collapsed="false">
      <c r="K46" s="28" t="s">
        <v>34</v>
      </c>
      <c r="L46" s="29" t="n">
        <f aca="false">IFERROR((N45*0.3+R45*0.16+V45*0.45+Z45*0.09)*446,"")</f>
        <v>1132729.14837545</v>
      </c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8" customFormat="false" ht="15" hidden="false" customHeight="true" outlineLevel="0" collapsed="false">
      <c r="K48" s="3" t="s">
        <v>38</v>
      </c>
    </row>
    <row r="49" customFormat="false" ht="15" hidden="false" customHeight="true" outlineLevel="0" collapsed="false">
      <c r="K49" s="1" t="s">
        <v>39</v>
      </c>
    </row>
    <row r="50" customFormat="false" ht="15" hidden="false" customHeight="true" outlineLevel="0" collapsed="false">
      <c r="K50" s="1" t="s">
        <v>40</v>
      </c>
      <c r="L50" s="31" t="n">
        <v>0</v>
      </c>
      <c r="M50" s="32" t="s">
        <v>41</v>
      </c>
    </row>
    <row r="52" customFormat="false" ht="15" hidden="false" customHeight="true" outlineLevel="0" collapsed="false">
      <c r="K52" s="1" t="s">
        <v>42</v>
      </c>
    </row>
    <row r="53" customFormat="false" ht="15" hidden="false" customHeight="true" outlineLevel="0" collapsed="false">
      <c r="K53" s="1" t="s">
        <v>37</v>
      </c>
    </row>
    <row r="56" customFormat="false" ht="15" hidden="false" customHeight="true" outlineLevel="0" collapsed="false">
      <c r="N56" s="3" t="s">
        <v>43</v>
      </c>
      <c r="V56" s="3" t="s">
        <v>43</v>
      </c>
      <c r="Z56" s="3" t="s">
        <v>43</v>
      </c>
    </row>
    <row r="57" customFormat="false" ht="15" hidden="false" customHeight="true" outlineLevel="0" collapsed="false">
      <c r="K57" s="3" t="s">
        <v>44</v>
      </c>
      <c r="N57" s="3" t="s">
        <v>45</v>
      </c>
      <c r="V57" s="3" t="s">
        <v>45</v>
      </c>
      <c r="Z57" s="3" t="s">
        <v>45</v>
      </c>
    </row>
    <row r="58" customFormat="false" ht="15" hidden="false" customHeight="true" outlineLevel="0" collapsed="false">
      <c r="K58" s="1" t="s">
        <v>46</v>
      </c>
      <c r="N58" s="33" t="n">
        <v>2084</v>
      </c>
      <c r="Q58" s="32" t="s">
        <v>47</v>
      </c>
      <c r="V58" s="33" t="n">
        <v>2569</v>
      </c>
      <c r="Z58" s="33" t="n">
        <v>3043</v>
      </c>
    </row>
    <row r="59" customFormat="false" ht="15" hidden="false" customHeight="true" outlineLevel="0" collapsed="false">
      <c r="K59" s="1" t="s">
        <v>48</v>
      </c>
      <c r="N59" s="33" t="n">
        <v>2292</v>
      </c>
      <c r="V59" s="33" t="n">
        <v>3091</v>
      </c>
      <c r="Z59" s="33" t="n">
        <v>3866</v>
      </c>
    </row>
    <row r="60" customFormat="false" ht="15" hidden="false" customHeight="true" outlineLevel="0" collapsed="false">
      <c r="K60" s="1" t="s">
        <v>49</v>
      </c>
      <c r="N60" s="34" t="n">
        <v>-0.041</v>
      </c>
      <c r="V60" s="34" t="n">
        <v>-0.032</v>
      </c>
      <c r="Z60" s="34" t="n">
        <v>-0.027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30"/>
    <col collapsed="false" customWidth="true" hidden="false" outlineLevel="0" max="6" min="6" style="1" width="6"/>
  </cols>
  <sheetData>
    <row r="1" customFormat="false" ht="25.5" hidden="false" customHeight="true" outlineLevel="0" collapsed="false">
      <c r="A1" s="35" t="s">
        <v>50</v>
      </c>
      <c r="B1" s="35"/>
      <c r="C1" s="35"/>
      <c r="D1" s="35"/>
      <c r="E1" s="35"/>
      <c r="F1" s="35"/>
    </row>
    <row r="2" customFormat="false" ht="15" hidden="false" customHeight="true" outlineLevel="0" collapsed="false">
      <c r="A2" s="36" t="s">
        <v>51</v>
      </c>
      <c r="B2" s="36"/>
      <c r="C2" s="36"/>
      <c r="D2" s="36"/>
      <c r="E2" s="36"/>
      <c r="F2" s="36"/>
    </row>
    <row r="4" customFormat="false" ht="21.75" hidden="false" customHeight="true" outlineLevel="0" collapsed="false">
      <c r="A4" s="3" t="s">
        <v>52</v>
      </c>
      <c r="C4" s="37" t="n">
        <f aca="false">Data_Summary!C25</f>
        <v>3.71211880419987</v>
      </c>
    </row>
    <row r="5" customFormat="false" ht="15" hidden="false" customHeight="true" outlineLevel="0" collapsed="false">
      <c r="A5" s="38" t="s">
        <v>53</v>
      </c>
    </row>
    <row r="6" customFormat="false" ht="15" hidden="false" customHeight="true" outlineLevel="0" collapsed="false">
      <c r="A6" s="13" t="s">
        <v>54</v>
      </c>
      <c r="C6" s="39" t="n">
        <f aca="false">Data_Summary!C26</f>
        <v>3.71211880419987</v>
      </c>
    </row>
    <row r="8" customFormat="false" ht="15" hidden="false" customHeight="true" outlineLevel="0" collapsed="false">
      <c r="A8" s="3" t="s">
        <v>55</v>
      </c>
    </row>
    <row r="9" customFormat="false" ht="15" hidden="false" customHeight="true" outlineLevel="0" collapsed="false">
      <c r="A9" s="40" t="s">
        <v>56</v>
      </c>
      <c r="B9" s="40" t="s">
        <v>57</v>
      </c>
      <c r="C9" s="40" t="s">
        <v>58</v>
      </c>
    </row>
    <row r="10" customFormat="false" ht="15" hidden="false" customHeight="true" outlineLevel="0" collapsed="false">
      <c r="A10" s="1" t="s">
        <v>59</v>
      </c>
      <c r="B10" s="10" t="n">
        <f aca="false">Data_Summary!C17</f>
        <v>635.1</v>
      </c>
      <c r="C10" s="41" t="n">
        <f aca="false">Data_Summary!F17</f>
        <v>2401.7334</v>
      </c>
    </row>
    <row r="11" customFormat="false" ht="15" hidden="false" customHeight="true" outlineLevel="0" collapsed="false">
      <c r="A11" s="1" t="s">
        <v>60</v>
      </c>
      <c r="B11" s="10" t="n">
        <f aca="false">Data_Summary!C18</f>
        <v>760</v>
      </c>
      <c r="C11" s="41" t="n">
        <f aca="false">Data_Summary!F18</f>
        <v>2796.08214285714</v>
      </c>
    </row>
    <row r="12" customFormat="false" ht="15" hidden="false" customHeight="true" outlineLevel="0" collapsed="false">
      <c r="A12" s="1" t="s">
        <v>61</v>
      </c>
      <c r="B12" s="10" t="n">
        <f aca="false">Data_Summary!C19</f>
        <v>1017.4</v>
      </c>
      <c r="C12" s="41" t="n">
        <f aca="false">Data_Summary!F19</f>
        <v>3342.35</v>
      </c>
    </row>
    <row r="14" customFormat="false" ht="15" hidden="false" customHeight="true" outlineLevel="0" collapsed="false">
      <c r="A14" s="3" t="s">
        <v>62</v>
      </c>
      <c r="D14" s="42" t="n">
        <v>700</v>
      </c>
    </row>
    <row r="15" customFormat="false" ht="15" hidden="false" customHeight="true" outlineLevel="0" collapsed="false">
      <c r="A15" s="1" t="s">
        <v>63</v>
      </c>
      <c r="D15" s="41" t="n">
        <f aca="false">IFERROR(D14*Data_Summary!C25,"")</f>
        <v>2598.48316293991</v>
      </c>
    </row>
    <row r="16" customFormat="false" ht="15" hidden="false" customHeight="true" outlineLevel="0" collapsed="false">
      <c r="A16" s="1" t="s">
        <v>64</v>
      </c>
      <c r="D16" s="11" t="n">
        <f aca="false">IFERROR(D14*Data_Summary!C22,"")</f>
        <v>2293.45380665482</v>
      </c>
    </row>
    <row r="18" customFormat="false" ht="15" hidden="false" customHeight="true" outlineLevel="0" collapsed="false">
      <c r="A18" s="43" t="s">
        <v>65</v>
      </c>
    </row>
    <row r="19" customFormat="false" ht="15" hidden="false" customHeight="true" outlineLevel="0" collapsed="false">
      <c r="A19" s="1" t="s">
        <v>66</v>
      </c>
      <c r="C19" s="44" t="n">
        <f aca="false">Data_Summary!C22</f>
        <v>3.27636258093546</v>
      </c>
      <c r="D19" s="45" t="s">
        <v>67</v>
      </c>
      <c r="E19" s="45"/>
      <c r="F19" s="45"/>
    </row>
    <row r="20" customFormat="false" ht="15" hidden="false" customHeight="true" outlineLevel="0" collapsed="false">
      <c r="A20" s="1" t="s">
        <v>68</v>
      </c>
      <c r="C20" s="46" t="n">
        <f aca="false">Data_Summary!C4</f>
        <v>0.133</v>
      </c>
      <c r="D20" s="45" t="s">
        <v>69</v>
      </c>
      <c r="E20" s="45"/>
      <c r="F20" s="45"/>
    </row>
    <row r="21" customFormat="false" ht="15" hidden="false" customHeight="true" outlineLevel="0" collapsed="false">
      <c r="A21" s="1" t="s">
        <v>70</v>
      </c>
      <c r="C21" s="47" t="n">
        <f aca="false">Data_Summary!C25</f>
        <v>3.71211880419987</v>
      </c>
      <c r="D21" s="45" t="s">
        <v>71</v>
      </c>
      <c r="E21" s="45"/>
      <c r="F21" s="45"/>
    </row>
    <row r="22" customFormat="false" ht="15" hidden="false" customHeight="true" outlineLevel="0" collapsed="false">
      <c r="A22" s="1" t="s">
        <v>72</v>
      </c>
      <c r="C22" s="48" t="n">
        <f aca="false">Data_Summary!C27</f>
        <v>3.9</v>
      </c>
      <c r="D22" s="45" t="s">
        <v>73</v>
      </c>
      <c r="E22" s="45"/>
      <c r="F22" s="45"/>
    </row>
    <row r="23" customFormat="false" ht="15" hidden="false" customHeight="true" outlineLevel="0" collapsed="false">
      <c r="A23" s="1" t="s">
        <v>74</v>
      </c>
      <c r="C23" s="46" t="n">
        <f aca="false">Data_Summary!C28</f>
        <v>-0.0481746655897768</v>
      </c>
      <c r="D23" s="45" t="s">
        <v>75</v>
      </c>
      <c r="E23" s="45"/>
      <c r="F23" s="45"/>
    </row>
    <row r="25" customFormat="false" ht="15" hidden="false" customHeight="true" outlineLevel="0" collapsed="false">
      <c r="A25" s="49" t="s">
        <v>76</v>
      </c>
      <c r="B25" s="49"/>
      <c r="C25" s="49"/>
      <c r="D25" s="49"/>
      <c r="E25" s="49"/>
      <c r="F25" s="49"/>
    </row>
    <row r="27" customFormat="false" ht="15" hidden="false" customHeight="true" outlineLevel="0" collapsed="false">
      <c r="A27" s="3" t="s">
        <v>77</v>
      </c>
    </row>
    <row r="28" customFormat="false" ht="15" hidden="false" customHeight="true" outlineLevel="0" collapsed="false">
      <c r="A28" s="50" t="s">
        <v>78</v>
      </c>
      <c r="B28" s="50"/>
      <c r="C28" s="50"/>
      <c r="D28" s="50"/>
    </row>
    <row r="29" customFormat="false" ht="15" hidden="false" customHeight="true" outlineLevel="0" collapsed="false">
      <c r="A29" s="51" t="s">
        <v>79</v>
      </c>
      <c r="B29" s="51"/>
      <c r="C29" s="51"/>
      <c r="D29" s="51"/>
    </row>
    <row r="30" customFormat="false" ht="15" hidden="false" customHeight="true" outlineLevel="0" collapsed="false">
      <c r="A30" s="52" t="s">
        <v>80</v>
      </c>
      <c r="B30" s="52"/>
      <c r="C30" s="52"/>
      <c r="D30" s="52"/>
    </row>
    <row r="32" customFormat="false" ht="15" hidden="false" customHeight="true" outlineLevel="0" collapsed="false">
      <c r="A32" s="43" t="s">
        <v>81</v>
      </c>
    </row>
    <row r="33" customFormat="false" ht="15" hidden="false" customHeight="true" outlineLevel="0" collapsed="false">
      <c r="A33" s="53" t="s">
        <v>82</v>
      </c>
      <c r="B33" s="53" t="s">
        <v>57</v>
      </c>
      <c r="C33" s="53" t="s">
        <v>83</v>
      </c>
      <c r="D33" s="53" t="s">
        <v>84</v>
      </c>
      <c r="E33" s="53" t="s">
        <v>85</v>
      </c>
    </row>
    <row r="34" customFormat="false" ht="15" hidden="false" customHeight="true" outlineLevel="0" collapsed="false">
      <c r="A34" s="1" t="s">
        <v>86</v>
      </c>
      <c r="B34" s="10" t="n">
        <f aca="false">'Building Summary'!K4</f>
        <v>761.727272727273</v>
      </c>
      <c r="C34" s="11" t="n">
        <f aca="false">'Building Summary'!L4</f>
        <v>2419.22727272727</v>
      </c>
      <c r="D34" s="54" t="n">
        <f aca="false">'Building Summary'!M4</f>
        <v>3.22757125574293</v>
      </c>
      <c r="E34" s="1" t="s">
        <v>87</v>
      </c>
    </row>
    <row r="35" customFormat="false" ht="15" hidden="false" customHeight="true" outlineLevel="0" collapsed="false">
      <c r="A35" s="1" t="s">
        <v>88</v>
      </c>
      <c r="B35" s="10" t="n">
        <f aca="false">Data_Summary!C11</f>
        <v>635.1</v>
      </c>
      <c r="C35" s="11" t="n">
        <f aca="false">Data_Summary!D11</f>
        <v>2119.8</v>
      </c>
      <c r="D35" s="55" t="n">
        <f aca="false">Data_Summary!E11</f>
        <v>3.36624283883733</v>
      </c>
    </row>
    <row r="36" customFormat="false" ht="15" hidden="false" customHeight="true" outlineLevel="0" collapsed="false">
      <c r="A36" s="1" t="s">
        <v>89</v>
      </c>
      <c r="B36" s="10" t="n">
        <f aca="false">Data_Summary!C12</f>
        <v>760</v>
      </c>
      <c r="C36" s="11" t="n">
        <f aca="false">Data_Summary!D12</f>
        <v>2467.85714285714</v>
      </c>
      <c r="D36" s="55" t="n">
        <f aca="false">Data_Summary!E12</f>
        <v>3.2583221258852</v>
      </c>
    </row>
    <row r="37" customFormat="false" ht="15" hidden="false" customHeight="true" outlineLevel="0" collapsed="false">
      <c r="A37" s="1" t="s">
        <v>90</v>
      </c>
      <c r="B37" s="10" t="n">
        <f aca="false">Data_Summary!C13</f>
        <v>1017.4</v>
      </c>
      <c r="C37" s="11" t="n">
        <f aca="false">Data_Summary!D13</f>
        <v>2950</v>
      </c>
      <c r="D37" s="55" t="n">
        <f aca="false">Data_Summary!E13</f>
        <v>2.90717687135494</v>
      </c>
    </row>
    <row r="39" customFormat="false" ht="15" hidden="false" customHeight="true" outlineLevel="0" collapsed="false">
      <c r="A39" s="45" t="s">
        <v>91</v>
      </c>
      <c r="B39" s="45"/>
      <c r="C39" s="45"/>
      <c r="D39" s="45"/>
      <c r="E39" s="45"/>
      <c r="F39" s="45"/>
    </row>
    <row r="40" customFormat="false" ht="15" hidden="false" customHeight="true" outlineLevel="0" collapsed="false">
      <c r="A40" s="45" t="s">
        <v>92</v>
      </c>
      <c r="B40" s="45"/>
      <c r="C40" s="45"/>
      <c r="D40" s="45"/>
      <c r="E40" s="45"/>
      <c r="F40" s="45"/>
    </row>
    <row r="41" customFormat="false" ht="15" hidden="false" customHeight="true" outlineLevel="0" collapsed="false">
      <c r="A41" s="45" t="s">
        <v>93</v>
      </c>
      <c r="B41" s="45"/>
      <c r="C41" s="45"/>
      <c r="D41" s="45"/>
      <c r="E41" s="45"/>
      <c r="F41" s="45"/>
    </row>
    <row r="42" customFormat="false" ht="15" hidden="false" customHeight="true" outlineLevel="0" collapsed="false">
      <c r="A42" s="45" t="s">
        <v>94</v>
      </c>
      <c r="B42" s="45"/>
      <c r="C42" s="45"/>
      <c r="D42" s="45"/>
      <c r="E42" s="45"/>
      <c r="F42" s="45"/>
    </row>
    <row r="43" customFormat="false" ht="15" hidden="false" customHeight="true" outlineLevel="0" collapsed="false">
      <c r="A43" s="45" t="s">
        <v>95</v>
      </c>
      <c r="B43" s="45"/>
      <c r="C43" s="45"/>
      <c r="D43" s="45"/>
      <c r="E43" s="45"/>
      <c r="F43" s="45"/>
    </row>
  </sheetData>
  <mergeCells count="16">
    <mergeCell ref="A1:F1"/>
    <mergeCell ref="A2:F2"/>
    <mergeCell ref="D19:F19"/>
    <mergeCell ref="D20:F20"/>
    <mergeCell ref="D21:F21"/>
    <mergeCell ref="D22:F22"/>
    <mergeCell ref="D23:F23"/>
    <mergeCell ref="A25:F25"/>
    <mergeCell ref="A28:D28"/>
    <mergeCell ref="A29:D29"/>
    <mergeCell ref="A30:D30"/>
    <mergeCell ref="A39:F39"/>
    <mergeCell ref="A40:F40"/>
    <mergeCell ref="A41:F41"/>
    <mergeCell ref="A42:F42"/>
    <mergeCell ref="A43:F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19"/>
    <col collapsed="false" customWidth="true" hidden="false" outlineLevel="0" max="3" min="3" style="1" width="12"/>
    <col collapsed="false" customWidth="true" hidden="false" outlineLevel="0" max="4" min="4" style="1" width="19"/>
    <col collapsed="false" customWidth="true" hidden="false" outlineLevel="0" max="5" min="5" style="1" width="13"/>
    <col collapsed="false" customWidth="true" hidden="false" outlineLevel="0" max="8" min="6" style="1" width="8"/>
    <col collapsed="false" customWidth="true" hidden="false" outlineLevel="0" max="9" min="9" style="1" width="7"/>
    <col collapsed="false" customWidth="true" hidden="false" outlineLevel="0" max="10" min="10" style="1" width="11"/>
    <col collapsed="false" customWidth="true" hidden="false" outlineLevel="0" max="11" min="11" style="1" width="9"/>
    <col collapsed="false" customWidth="true" hidden="false" outlineLevel="0" max="12" min="12" style="1" width="11"/>
    <col collapsed="false" customWidth="true" hidden="false" outlineLevel="0" max="13" min="13" style="1" width="9"/>
  </cols>
  <sheetData>
    <row r="1" customFormat="false" ht="17.25" hidden="false" customHeight="true" outlineLevel="0" collapsed="false">
      <c r="A1" s="56" t="s">
        <v>96</v>
      </c>
    </row>
    <row r="3" customFormat="false" ht="21.75" hidden="false" customHeight="true" outlineLevel="0" collapsed="false">
      <c r="A3" s="57" t="s">
        <v>1</v>
      </c>
      <c r="B3" s="57" t="s">
        <v>97</v>
      </c>
      <c r="C3" s="57" t="s">
        <v>98</v>
      </c>
      <c r="D3" s="57" t="s">
        <v>99</v>
      </c>
      <c r="E3" s="57" t="s">
        <v>2</v>
      </c>
      <c r="F3" s="57" t="s">
        <v>100</v>
      </c>
      <c r="G3" s="57" t="s">
        <v>101</v>
      </c>
      <c r="H3" s="57" t="s">
        <v>102</v>
      </c>
      <c r="I3" s="57" t="s">
        <v>103</v>
      </c>
      <c r="J3" s="57" t="s">
        <v>5</v>
      </c>
      <c r="K3" s="57" t="s">
        <v>57</v>
      </c>
      <c r="L3" s="57" t="s">
        <v>104</v>
      </c>
      <c r="M3" s="57" t="s">
        <v>84</v>
      </c>
    </row>
    <row r="4" customFormat="false" ht="15" hidden="false" customHeight="true" outlineLevel="0" collapsed="false">
      <c r="A4" s="1" t="s">
        <v>10</v>
      </c>
      <c r="B4" s="1" t="s">
        <v>105</v>
      </c>
      <c r="C4" s="1" t="s">
        <v>106</v>
      </c>
      <c r="D4" s="1" t="s">
        <v>107</v>
      </c>
      <c r="E4" s="58" t="n">
        <v>2023</v>
      </c>
      <c r="F4" s="58" t="n">
        <v>2023</v>
      </c>
      <c r="G4" s="1" t="s">
        <v>108</v>
      </c>
      <c r="H4" s="31" t="n">
        <v>22</v>
      </c>
      <c r="I4" s="31" t="n">
        <v>232</v>
      </c>
      <c r="J4" s="9" t="n">
        <f aca="false">COUNTIFS('Raw Data'!$K:$K,$A4,'Raw Data'!$A:$A,1)</f>
        <v>22</v>
      </c>
      <c r="K4" s="10" t="n">
        <f aca="false">IFERROR(AVERAGEIFS('Raw Data'!$B:$B,'Raw Data'!$K:$K,$A4,'Raw Data'!$A:$A,1),"")</f>
        <v>761.727272727273</v>
      </c>
      <c r="L4" s="11" t="n">
        <f aca="false">IFERROR(AVERAGEIFS('Raw Data'!$AB:$AB,'Raw Data'!$K:$K,$A4,'Raw Data'!$A:$A,1),"")</f>
        <v>2419.22727272727</v>
      </c>
      <c r="M4" s="54" t="n">
        <f aca="false">IFERROR(AVERAGEIFS('Raw Data'!$E:$E,'Raw Data'!$K:$K,$A4,'Raw Data'!$A:$A,1),"")</f>
        <v>3.22757125574293</v>
      </c>
    </row>
    <row r="5" customFormat="false" ht="15" hidden="false" customHeight="true" outlineLevel="0" collapsed="false">
      <c r="A5" s="59" t="s">
        <v>109</v>
      </c>
      <c r="B5" s="60"/>
      <c r="C5" s="60"/>
      <c r="D5" s="60"/>
      <c r="E5" s="60"/>
      <c r="F5" s="60"/>
      <c r="G5" s="60"/>
      <c r="H5" s="60"/>
      <c r="I5" s="60"/>
      <c r="J5" s="61" t="n">
        <f aca="false">SUM(J4)</f>
        <v>22</v>
      </c>
      <c r="K5" s="62" t="n">
        <f aca="false">IFERROR(AVERAGEIFS('Raw Data'!$B:$B,'Raw Data'!$A:$A,1),"")</f>
        <v>761.727272727273</v>
      </c>
      <c r="L5" s="63" t="n">
        <f aca="false">IFERROR(AVERAGEIFS('Raw Data'!$AB:$AB,'Raw Data'!$A:$A,1),"")</f>
        <v>2419.22727272727</v>
      </c>
      <c r="M5" s="64" t="n">
        <f aca="false">IFERROR(AVERAGEIFS('Raw Data'!$AN:$AN,'Raw Data'!$A:$A,1),"")</f>
        <v>3.22757125574293</v>
      </c>
    </row>
    <row r="6" customFormat="false" ht="15" hidden="false" customHeight="true" outlineLevel="0" collapsed="false"/>
    <row r="7" customFormat="false" ht="15" hidden="false" customHeight="true" outlineLevel="0" collapsed="false"/>
    <row r="8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4" min="4" style="1" width="8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8" min="8" style="1" width="8"/>
    <col collapsed="false" customWidth="true" hidden="false" outlineLevel="0" max="16" min="16" style="0" width="42"/>
    <col collapsed="false" customWidth="true" hidden="false" outlineLevel="0" max="17" min="17" style="0" width="30"/>
  </cols>
  <sheetData>
    <row r="1" customFormat="false" ht="15" hidden="false" customHeight="true" outlineLevel="0" collapsed="false">
      <c r="B1" s="3" t="s">
        <v>110</v>
      </c>
      <c r="C1" s="65" t="n">
        <v>45778</v>
      </c>
      <c r="G1" s="66" t="s">
        <v>111</v>
      </c>
      <c r="J1" s="67" t="s">
        <v>112</v>
      </c>
      <c r="P1" s="68" t="s">
        <v>113</v>
      </c>
    </row>
    <row r="2" customFormat="false" ht="15" hidden="false" customHeight="true" outlineLevel="0" collapsed="false">
      <c r="B2" s="3" t="s">
        <v>114</v>
      </c>
      <c r="C2" s="69" t="n">
        <f aca="false">INDEX(LINEST(N2:N27,J2:M27,TRUE(),FALSE()),1,3)</f>
        <v>132.334569382792</v>
      </c>
      <c r="D2" s="67" t="s">
        <v>115</v>
      </c>
      <c r="G2" s="3" t="s">
        <v>116</v>
      </c>
      <c r="H2" s="70" t="n">
        <f aca="false">IF($Q$5&gt;0,$Q$2/$Q$5,$Q$8)</f>
        <v>0.46</v>
      </c>
      <c r="J2" s="71" t="n">
        <f aca="false">'Raw Data'!B2</f>
        <v>694</v>
      </c>
      <c r="K2" s="72" t="n">
        <f aca="false">'Raw Data'!U2</f>
        <v>1</v>
      </c>
      <c r="L2" s="72" t="n">
        <f aca="false">IF('Raw Data'!H2="2",1,0)</f>
        <v>1</v>
      </c>
      <c r="M2" s="72" t="n">
        <f aca="false">IF('Raw Data'!H2="3",1,0)</f>
        <v>0</v>
      </c>
      <c r="N2" s="71" t="n">
        <f aca="false">'Raw Data'!AB2</f>
        <v>2450</v>
      </c>
      <c r="P2" s="73" t="s">
        <v>117</v>
      </c>
      <c r="Q2" s="73" t="n">
        <f aca="false">COUNTIFS('Floor Plans'!$A:$A,"*(SUBJECT)*",'Floor Plans'!$E:$E,"1*")+COUNTIFS('Floor Plans'!$A:$A,"*(SUBJECT)*",'Floor Plans'!$E:$E,"0*")</f>
        <v>0</v>
      </c>
    </row>
    <row r="3" customFormat="false" ht="15" hidden="false" customHeight="true" outlineLevel="0" collapsed="false">
      <c r="B3" s="3" t="s">
        <v>118</v>
      </c>
      <c r="C3" s="74" t="n">
        <v>0</v>
      </c>
      <c r="D3" s="67" t="s">
        <v>119</v>
      </c>
      <c r="G3" s="3" t="s">
        <v>120</v>
      </c>
      <c r="H3" s="70" t="n">
        <f aca="false">IF($Q$5&gt;0,$Q$3/$Q$5,$Q$9)</f>
        <v>0.45</v>
      </c>
      <c r="J3" s="71" t="n">
        <f aca="false">'Raw Data'!B3</f>
        <v>694</v>
      </c>
      <c r="K3" s="72" t="n">
        <f aca="false">'Raw Data'!U3</f>
        <v>0</v>
      </c>
      <c r="L3" s="72" t="n">
        <f aca="false">IF('Raw Data'!H3="2",1,0)</f>
        <v>0</v>
      </c>
      <c r="M3" s="72" t="n">
        <f aca="false">IF('Raw Data'!H3="3",1,0)</f>
        <v>0</v>
      </c>
      <c r="N3" s="71" t="n">
        <f aca="false">'Raw Data'!AB3</f>
        <v>2000</v>
      </c>
      <c r="P3" s="73" t="s">
        <v>121</v>
      </c>
      <c r="Q3" s="73" t="n">
        <f aca="false">COUNTIFS('Floor Plans'!$A:$A,"*(SUBJECT)*",'Floor Plans'!$E:$E,"2*")</f>
        <v>0</v>
      </c>
    </row>
    <row r="4" customFormat="false" ht="15" hidden="false" customHeight="true" outlineLevel="0" collapsed="false">
      <c r="B4" s="3" t="s">
        <v>122</v>
      </c>
      <c r="C4" s="75" t="n">
        <v>0.133</v>
      </c>
      <c r="D4" s="67" t="s">
        <v>123</v>
      </c>
      <c r="G4" s="3" t="s">
        <v>124</v>
      </c>
      <c r="H4" s="70" t="n">
        <f aca="false">IF($Q$5&gt;0,$Q$4/$Q$5,$Q$10)</f>
        <v>0.09</v>
      </c>
      <c r="J4" s="71" t="n">
        <f aca="false">'Raw Data'!B4</f>
        <v>715</v>
      </c>
      <c r="K4" s="72" t="n">
        <f aca="false">'Raw Data'!U4</f>
        <v>1</v>
      </c>
      <c r="L4" s="72" t="n">
        <f aca="false">IF('Raw Data'!H4="2",1,0)</f>
        <v>1</v>
      </c>
      <c r="M4" s="72" t="n">
        <f aca="false">IF('Raw Data'!H4="3",1,0)</f>
        <v>0</v>
      </c>
      <c r="N4" s="71" t="n">
        <f aca="false">'Raw Data'!AB4</f>
        <v>2350</v>
      </c>
      <c r="P4" s="73" t="s">
        <v>125</v>
      </c>
      <c r="Q4" s="73" t="n">
        <f aca="false">COUNTIFS('Floor Plans'!$A:$A,"*(SUBJECT)*",'Floor Plans'!$E:$E,"3*")</f>
        <v>0</v>
      </c>
    </row>
    <row r="5" customFormat="false" ht="15" hidden="false" customHeight="true" outlineLevel="0" collapsed="false">
      <c r="A5" s="3" t="s">
        <v>126</v>
      </c>
      <c r="J5" s="71" t="n">
        <f aca="false">'Raw Data'!B5</f>
        <v>617</v>
      </c>
      <c r="K5" s="72" t="n">
        <f aca="false">'Raw Data'!U5</f>
        <v>1</v>
      </c>
      <c r="L5" s="72" t="n">
        <f aca="false">IF('Raw Data'!H5="2",1,0)</f>
        <v>0</v>
      </c>
      <c r="M5" s="72" t="n">
        <f aca="false">IF('Raw Data'!H5="3",1,0)</f>
        <v>0</v>
      </c>
      <c r="N5" s="71" t="n">
        <f aca="false">'Raw Data'!AB5</f>
        <v>1999</v>
      </c>
      <c r="P5" s="73" t="s">
        <v>127</v>
      </c>
      <c r="Q5" s="73" t="n">
        <f aca="false">Q2+Q3+Q4</f>
        <v>0</v>
      </c>
    </row>
    <row r="6" customFormat="false" ht="15" hidden="false" customHeight="true" outlineLevel="0" collapsed="false">
      <c r="A6" s="53" t="s">
        <v>1</v>
      </c>
      <c r="B6" s="53" t="s">
        <v>97</v>
      </c>
      <c r="C6" s="53" t="s">
        <v>128</v>
      </c>
      <c r="D6" s="53" t="s">
        <v>129</v>
      </c>
      <c r="E6" s="53" t="s">
        <v>57</v>
      </c>
      <c r="F6" s="53" t="s">
        <v>104</v>
      </c>
      <c r="G6" s="53" t="s">
        <v>84</v>
      </c>
      <c r="J6" s="71" t="n">
        <f aca="false">'Raw Data'!B6</f>
        <v>751</v>
      </c>
      <c r="K6" s="72" t="n">
        <f aca="false">'Raw Data'!U6</f>
        <v>0</v>
      </c>
      <c r="L6" s="72" t="n">
        <f aca="false">IF('Raw Data'!H6="2",1,0)</f>
        <v>0</v>
      </c>
      <c r="M6" s="72" t="n">
        <f aca="false">IF('Raw Data'!H6="3",1,0)</f>
        <v>0</v>
      </c>
      <c r="N6" s="71" t="n">
        <f aca="false">'Raw Data'!AB6</f>
        <v>2100</v>
      </c>
      <c r="P6" s="73" t="s">
        <v>130</v>
      </c>
      <c r="Q6" s="73" t="str">
        <f aca="false">IF(Q5&gt;0,"LIVE plan-count from Floor Plans (studios-&gt;1BR)","MANUAL sourced mix (Q8:Q10)")</f>
        <v>MANUAL sourced mix (Q8:Q10)</v>
      </c>
    </row>
    <row r="7" customFormat="false" ht="15" hidden="false" customHeight="true" outlineLevel="0" collapsed="false">
      <c r="A7" s="1" t="s">
        <v>10</v>
      </c>
      <c r="B7" s="1" t="s">
        <v>105</v>
      </c>
      <c r="C7" s="1" t="s">
        <v>131</v>
      </c>
      <c r="D7" s="9" t="n">
        <f aca="false">COUNTIFS('Raw Data'!$K:$K,$A7,'Raw Data'!$A:$A,1)</f>
        <v>22</v>
      </c>
      <c r="E7" s="10" t="n">
        <f aca="false">IFERROR(AVERAGEIFS('Raw Data'!$B:$B,'Raw Data'!$K:$K,$A7,'Raw Data'!$A:$A,1),"")</f>
        <v>761.727272727273</v>
      </c>
      <c r="F7" s="11" t="n">
        <f aca="false">IFERROR(AVERAGEIFS('Raw Data'!$AB:$AB,'Raw Data'!$K:$K,$A7,'Raw Data'!$A:$A,1),"")</f>
        <v>2419.22727272727</v>
      </c>
      <c r="G7" s="12" t="n">
        <f aca="false">IFERROR(AVERAGEIFS('Raw Data'!$E:$E,'Raw Data'!$K:$K,$A7,'Raw Data'!$A:$A,1),"")</f>
        <v>3.22757125574293</v>
      </c>
      <c r="J7" s="71" t="n">
        <f aca="false">'Raw Data'!B7</f>
        <v>816</v>
      </c>
      <c r="K7" s="72" t="n">
        <f aca="false">'Raw Data'!U7</f>
        <v>1</v>
      </c>
      <c r="L7" s="72" t="n">
        <f aca="false">IF('Raw Data'!H7="2",1,0)</f>
        <v>1</v>
      </c>
      <c r="M7" s="72" t="n">
        <f aca="false">IF('Raw Data'!H7="3",1,0)</f>
        <v>0</v>
      </c>
      <c r="N7" s="71" t="n">
        <f aca="false">'Raw Data'!AB7</f>
        <v>2575</v>
      </c>
      <c r="P7" s="73" t="s">
        <v>132</v>
      </c>
      <c r="Q7" s="76" t="s">
        <v>133</v>
      </c>
    </row>
    <row r="8" customFormat="false" ht="15" hidden="false" customHeight="true" outlineLevel="0" collapsed="false">
      <c r="A8" s="59" t="s">
        <v>109</v>
      </c>
      <c r="B8" s="60"/>
      <c r="C8" s="60"/>
      <c r="D8" s="77" t="n">
        <f aca="false">COUNTIFS('Raw Data'!$A:$A,1)</f>
        <v>22</v>
      </c>
      <c r="E8" s="62" t="n">
        <f aca="false">IFERROR(AVERAGEIFS('Raw Data'!$B:$B,'Raw Data'!$A:$A,1),"")</f>
        <v>761.727272727273</v>
      </c>
      <c r="F8" s="63" t="n">
        <f aca="false">IFERROR(AVERAGEIFS('Raw Data'!$AB:$AB,'Raw Data'!$A:$A,1),"")</f>
        <v>2419.22727272727</v>
      </c>
      <c r="G8" s="64" t="n">
        <f aca="false">IFERROR(AVERAGEIFS('Raw Data'!$AN:$AN,'Raw Data'!$A:$A,1),"")</f>
        <v>3.22757125574293</v>
      </c>
      <c r="J8" s="71" t="n">
        <f aca="false">'Raw Data'!B8</f>
        <v>583</v>
      </c>
      <c r="K8" s="72" t="n">
        <f aca="false">'Raw Data'!U8</f>
        <v>1</v>
      </c>
      <c r="L8" s="72" t="n">
        <f aca="false">IF('Raw Data'!H8="2",1,0)</f>
        <v>0</v>
      </c>
      <c r="M8" s="72" t="n">
        <f aca="false">IF('Raw Data'!H8="3",1,0)</f>
        <v>0</v>
      </c>
      <c r="N8" s="71" t="n">
        <f aca="false">'Raw Data'!AB8</f>
        <v>2200</v>
      </c>
      <c r="P8" s="73" t="s">
        <v>134</v>
      </c>
      <c r="Q8" s="78" t="n">
        <v>0.46</v>
      </c>
    </row>
    <row r="9" customFormat="false" ht="15" hidden="false" customHeight="true" outlineLevel="0" collapsed="false">
      <c r="A9" s="3" t="s">
        <v>135</v>
      </c>
      <c r="J9" s="71" t="n">
        <f aca="false">'Raw Data'!B9</f>
        <v>988</v>
      </c>
      <c r="K9" s="72" t="n">
        <f aca="false">'Raw Data'!U9</f>
        <v>0</v>
      </c>
      <c r="L9" s="72" t="n">
        <f aca="false">IF('Raw Data'!H9="2",1,0)</f>
        <v>0</v>
      </c>
      <c r="M9" s="72" t="n">
        <f aca="false">IF('Raw Data'!H9="3",1,0)</f>
        <v>1</v>
      </c>
      <c r="N9" s="71" t="n">
        <f aca="false">'Raw Data'!AB9</f>
        <v>2550</v>
      </c>
      <c r="P9" s="73" t="s">
        <v>136</v>
      </c>
      <c r="Q9" s="78" t="n">
        <v>0.45</v>
      </c>
    </row>
    <row r="10" customFormat="false" ht="15" hidden="false" customHeight="true" outlineLevel="0" collapsed="false">
      <c r="A10" s="53" t="s">
        <v>137</v>
      </c>
      <c r="B10" s="53" t="s">
        <v>129</v>
      </c>
      <c r="C10" s="53" t="s">
        <v>57</v>
      </c>
      <c r="D10" s="53" t="s">
        <v>104</v>
      </c>
      <c r="E10" s="53" t="s">
        <v>84</v>
      </c>
      <c r="J10" s="71" t="n">
        <f aca="false">'Raw Data'!B10</f>
        <v>694</v>
      </c>
      <c r="K10" s="72" t="n">
        <f aca="false">'Raw Data'!U10</f>
        <v>1</v>
      </c>
      <c r="L10" s="72" t="n">
        <f aca="false">IF('Raw Data'!H10="2",1,0)</f>
        <v>0</v>
      </c>
      <c r="M10" s="72" t="n">
        <f aca="false">IF('Raw Data'!H10="3",1,0)</f>
        <v>0</v>
      </c>
      <c r="N10" s="71" t="n">
        <f aca="false">'Raw Data'!AB10</f>
        <v>2199</v>
      </c>
      <c r="P10" s="73" t="s">
        <v>138</v>
      </c>
      <c r="Q10" s="78" t="n">
        <v>0.09</v>
      </c>
    </row>
    <row r="11" customFormat="false" ht="15" hidden="false" customHeight="true" outlineLevel="0" collapsed="false">
      <c r="A11" s="1" t="s">
        <v>139</v>
      </c>
      <c r="B11" s="9" t="n">
        <f aca="false">COUNTIFS('Raw Data'!$H:$H,"1",'Raw Data'!$A:$A,1)</f>
        <v>10</v>
      </c>
      <c r="C11" s="10" t="n">
        <f aca="false">IFERROR(AVERAGEIFS('Raw Data'!$B:$B,'Raw Data'!$H:$H,"1",'Raw Data'!$A:$A,1),"")</f>
        <v>635.1</v>
      </c>
      <c r="D11" s="11" t="n">
        <f aca="false">IFERROR(AVERAGEIFS('Raw Data'!$AB:$AB,'Raw Data'!$H:$H,"1",'Raw Data'!$A:$A,1),"")</f>
        <v>2119.8</v>
      </c>
      <c r="E11" s="12" t="n">
        <f aca="false">IFERROR(AVERAGEIFS('Raw Data'!$AN:$AN,'Raw Data'!$H:$H,"1",'Raw Data'!$A:$A,1),"")</f>
        <v>3.36624283883733</v>
      </c>
      <c r="J11" s="71" t="n">
        <f aca="false">'Raw Data'!B11</f>
        <v>588</v>
      </c>
      <c r="K11" s="72" t="n">
        <f aca="false">'Raw Data'!U11</f>
        <v>0</v>
      </c>
      <c r="L11" s="72" t="n">
        <f aca="false">IF('Raw Data'!H11="2",1,0)</f>
        <v>0</v>
      </c>
      <c r="M11" s="72" t="n">
        <f aca="false">IF('Raw Data'!H11="3",1,0)</f>
        <v>0</v>
      </c>
      <c r="N11" s="71" t="n">
        <f aca="false">'Raw Data'!AB11</f>
        <v>2100</v>
      </c>
      <c r="P11" s="73" t="s">
        <v>140</v>
      </c>
    </row>
    <row r="12" customFormat="false" ht="15" hidden="false" customHeight="true" outlineLevel="0" collapsed="false">
      <c r="A12" s="1" t="s">
        <v>141</v>
      </c>
      <c r="B12" s="9" t="n">
        <f aca="false">COUNTIFS('Raw Data'!$H:$H,"2",'Raw Data'!$A:$A,1)</f>
        <v>7</v>
      </c>
      <c r="C12" s="10" t="n">
        <f aca="false">IFERROR(AVERAGEIFS('Raw Data'!$B:$B,'Raw Data'!$H:$H,"2",'Raw Data'!$A:$A,1),"")</f>
        <v>760</v>
      </c>
      <c r="D12" s="11" t="n">
        <f aca="false">IFERROR(AVERAGEIFS('Raw Data'!$AB:$AB,'Raw Data'!$H:$H,"2",'Raw Data'!$A:$A,1),"")</f>
        <v>2467.85714285714</v>
      </c>
      <c r="E12" s="12" t="n">
        <f aca="false">IFERROR(AVERAGEIFS('Raw Data'!$AN:$AN,'Raw Data'!$H:$H,"2",'Raw Data'!$A:$A,1),"")</f>
        <v>3.2583221258852</v>
      </c>
      <c r="J12" s="71" t="n">
        <f aca="false">'Raw Data'!B12</f>
        <v>1135</v>
      </c>
      <c r="K12" s="72" t="n">
        <f aca="false">'Raw Data'!U12</f>
        <v>1</v>
      </c>
      <c r="L12" s="72" t="n">
        <f aca="false">IF('Raw Data'!H12="2",1,0)</f>
        <v>0</v>
      </c>
      <c r="M12" s="72" t="n">
        <f aca="false">IF('Raw Data'!H12="3",1,0)</f>
        <v>1</v>
      </c>
      <c r="N12" s="71" t="n">
        <f aca="false">'Raw Data'!AB12</f>
        <v>3000</v>
      </c>
    </row>
    <row r="13" customFormat="false" ht="15" hidden="false" customHeight="true" outlineLevel="0" collapsed="false">
      <c r="A13" s="1" t="s">
        <v>142</v>
      </c>
      <c r="B13" s="9" t="n">
        <f aca="false">COUNTIFS('Raw Data'!$H:$H,"3",'Raw Data'!$A:$A,1)</f>
        <v>5</v>
      </c>
      <c r="C13" s="10" t="n">
        <f aca="false">IFERROR(AVERAGEIFS('Raw Data'!$B:$B,'Raw Data'!$H:$H,"3",'Raw Data'!$A:$A,1),"")</f>
        <v>1017.4</v>
      </c>
      <c r="D13" s="11" t="n">
        <f aca="false">IFERROR(AVERAGEIFS('Raw Data'!$AB:$AB,'Raw Data'!$H:$H,"3",'Raw Data'!$A:$A,1),"")</f>
        <v>2950</v>
      </c>
      <c r="E13" s="12" t="n">
        <f aca="false">IFERROR(AVERAGEIFS('Raw Data'!$AN:$AN,'Raw Data'!$H:$H,"3",'Raw Data'!$A:$A,1),"")</f>
        <v>2.90717687135494</v>
      </c>
      <c r="J13" s="71" t="n">
        <f aca="false">'Raw Data'!B13</f>
        <v>694</v>
      </c>
      <c r="K13" s="72" t="n">
        <f aca="false">'Raw Data'!U13</f>
        <v>1</v>
      </c>
      <c r="L13" s="72" t="n">
        <f aca="false">IF('Raw Data'!H13="2",1,0)</f>
        <v>1</v>
      </c>
      <c r="M13" s="72" t="n">
        <f aca="false">IF('Raw Data'!H13="3",1,0)</f>
        <v>0</v>
      </c>
      <c r="N13" s="71" t="n">
        <f aca="false">'Raw Data'!AB13</f>
        <v>2400</v>
      </c>
    </row>
    <row r="14" customFormat="false" ht="15" hidden="false" customHeight="true" outlineLevel="0" collapsed="false">
      <c r="J14" s="71" t="n">
        <f aca="false">'Raw Data'!B14</f>
        <v>788</v>
      </c>
      <c r="K14" s="72" t="n">
        <f aca="false">'Raw Data'!U14</f>
        <v>1</v>
      </c>
      <c r="L14" s="72" t="n">
        <f aca="false">IF('Raw Data'!H14="2",1,0)</f>
        <v>1</v>
      </c>
      <c r="M14" s="72" t="n">
        <f aca="false">IF('Raw Data'!H14="3",1,0)</f>
        <v>0</v>
      </c>
      <c r="N14" s="71" t="n">
        <f aca="false">'Raw Data'!AB14</f>
        <v>2600</v>
      </c>
    </row>
    <row r="15" customFormat="false" ht="15" hidden="false" customHeight="true" outlineLevel="0" collapsed="false">
      <c r="A15" s="3" t="s">
        <v>143</v>
      </c>
      <c r="J15" s="71" t="n">
        <f aca="false">'Raw Data'!B15</f>
        <v>988</v>
      </c>
      <c r="K15" s="72" t="n">
        <f aca="false">'Raw Data'!U15</f>
        <v>1</v>
      </c>
      <c r="L15" s="72" t="n">
        <f aca="false">IF('Raw Data'!H15="2",1,0)</f>
        <v>0</v>
      </c>
      <c r="M15" s="72" t="n">
        <f aca="false">IF('Raw Data'!H15="3",1,0)</f>
        <v>1</v>
      </c>
      <c r="N15" s="71" t="n">
        <f aca="false">'Raw Data'!AB15</f>
        <v>3000</v>
      </c>
    </row>
    <row r="16" customFormat="false" ht="15" hidden="false" customHeight="true" outlineLevel="0" collapsed="false">
      <c r="A16" s="53" t="s">
        <v>137</v>
      </c>
      <c r="B16" s="53" t="s">
        <v>129</v>
      </c>
      <c r="C16" s="53" t="s">
        <v>57</v>
      </c>
      <c r="D16" s="53" t="s">
        <v>104</v>
      </c>
      <c r="E16" s="53" t="s">
        <v>144</v>
      </c>
      <c r="F16" s="53" t="s">
        <v>145</v>
      </c>
      <c r="J16" s="71" t="n">
        <f aca="false">'Raw Data'!B16</f>
        <v>556</v>
      </c>
      <c r="K16" s="72" t="n">
        <f aca="false">'Raw Data'!U16</f>
        <v>1</v>
      </c>
      <c r="L16" s="72" t="n">
        <f aca="false">IF('Raw Data'!H16="2",1,0)</f>
        <v>0</v>
      </c>
      <c r="M16" s="72" t="n">
        <f aca="false">IF('Raw Data'!H16="3",1,0)</f>
        <v>0</v>
      </c>
      <c r="N16" s="71" t="n">
        <f aca="false">'Raw Data'!AB16</f>
        <v>2200</v>
      </c>
    </row>
    <row r="17" customFormat="false" ht="15" hidden="false" customHeight="true" outlineLevel="0" collapsed="false">
      <c r="A17" s="1" t="s">
        <v>139</v>
      </c>
      <c r="B17" s="9" t="n">
        <f aca="false">COUNTIFS('Raw Data'!$K:$K,"The Humber",'Raw Data'!$H:$H,"1",'Raw Data'!$A:$A,1)</f>
        <v>10</v>
      </c>
      <c r="C17" s="10" t="n">
        <f aca="false">IFERROR(AVERAGEIFS('Raw Data'!$B:$B,'Raw Data'!$K:$K,"The Humber",'Raw Data'!$H:$H,"1",'Raw Data'!$A:$A,1),"")</f>
        <v>635.1</v>
      </c>
      <c r="D17" s="11" t="n">
        <f aca="false">IFERROR(AVERAGEIFS('Raw Data'!$AB:$AB,'Raw Data'!$K:$K,"The Humber",'Raw Data'!$H:$H,"1",'Raw Data'!$A:$A,1),"")</f>
        <v>2119.8</v>
      </c>
      <c r="E17" s="12" t="n">
        <f aca="false">IFERROR(AVERAGEIFS('Raw Data'!$E:$E,'Raw Data'!$K:$K,"The Humber",'Raw Data'!$H:$H,"1",'Raw Data'!$A:$A,1),"")</f>
        <v>3.36624283883733</v>
      </c>
      <c r="F17" s="79" t="n">
        <f aca="false">IFERROR(D17*(1+$C$4),"")</f>
        <v>2401.7334</v>
      </c>
      <c r="J17" s="71" t="n">
        <f aca="false">'Raw Data'!B17</f>
        <v>988</v>
      </c>
      <c r="K17" s="72" t="n">
        <f aca="false">'Raw Data'!U17</f>
        <v>1</v>
      </c>
      <c r="L17" s="72" t="n">
        <f aca="false">IF('Raw Data'!H17="2",1,0)</f>
        <v>0</v>
      </c>
      <c r="M17" s="72" t="n">
        <f aca="false">IF('Raw Data'!H17="3",1,0)</f>
        <v>1</v>
      </c>
      <c r="N17" s="71" t="n">
        <f aca="false">'Raw Data'!AB17</f>
        <v>3000</v>
      </c>
    </row>
    <row r="18" customFormat="false" ht="15" hidden="false" customHeight="true" outlineLevel="0" collapsed="false">
      <c r="A18" s="1" t="s">
        <v>141</v>
      </c>
      <c r="B18" s="9" t="n">
        <f aca="false">COUNTIFS('Raw Data'!$K:$K,"The Humber",'Raw Data'!$H:$H,"2",'Raw Data'!$A:$A,1)</f>
        <v>7</v>
      </c>
      <c r="C18" s="10" t="n">
        <f aca="false">IFERROR(AVERAGEIFS('Raw Data'!$B:$B,'Raw Data'!$K:$K,"The Humber",'Raw Data'!$H:$H,"2",'Raw Data'!$A:$A,1),"")</f>
        <v>760</v>
      </c>
      <c r="D18" s="11" t="n">
        <f aca="false">IFERROR(AVERAGEIFS('Raw Data'!$AB:$AB,'Raw Data'!$K:$K,"The Humber",'Raw Data'!$H:$H,"2",'Raw Data'!$A:$A,1),"")</f>
        <v>2467.85714285714</v>
      </c>
      <c r="E18" s="12" t="n">
        <f aca="false">IFERROR(AVERAGEIFS('Raw Data'!$E:$E,'Raw Data'!$K:$K,"The Humber",'Raw Data'!$H:$H,"2",'Raw Data'!$A:$A,1),"")</f>
        <v>3.2583221258852</v>
      </c>
      <c r="F18" s="79" t="n">
        <f aca="false">IFERROR(D18*(1+$C$4),"")</f>
        <v>2796.08214285714</v>
      </c>
      <c r="J18" s="71" t="n">
        <f aca="false">'Raw Data'!B18</f>
        <v>663</v>
      </c>
      <c r="K18" s="72" t="n">
        <f aca="false">'Raw Data'!U18</f>
        <v>1</v>
      </c>
      <c r="L18" s="72" t="n">
        <f aca="false">IF('Raw Data'!H18="2",1,0)</f>
        <v>0</v>
      </c>
      <c r="M18" s="72" t="n">
        <f aca="false">IF('Raw Data'!H18="3",1,0)</f>
        <v>0</v>
      </c>
      <c r="N18" s="71" t="n">
        <f aca="false">'Raw Data'!AB18</f>
        <v>2300</v>
      </c>
    </row>
    <row r="19" customFormat="false" ht="15" hidden="false" customHeight="true" outlineLevel="0" collapsed="false">
      <c r="A19" s="1" t="s">
        <v>142</v>
      </c>
      <c r="B19" s="9" t="n">
        <f aca="false">COUNTIFS('Raw Data'!$K:$K,"The Humber",'Raw Data'!$H:$H,"3",'Raw Data'!$A:$A,1)</f>
        <v>5</v>
      </c>
      <c r="C19" s="10" t="n">
        <f aca="false">IFERROR(AVERAGEIFS('Raw Data'!$B:$B,'Raw Data'!$K:$K,"The Humber",'Raw Data'!$H:$H,"3",'Raw Data'!$A:$A,1),"")</f>
        <v>1017.4</v>
      </c>
      <c r="D19" s="11" t="n">
        <f aca="false">IFERROR(AVERAGEIFS('Raw Data'!$AB:$AB,'Raw Data'!$K:$K,"The Humber",'Raw Data'!$H:$H,"3",'Raw Data'!$A:$A,1),"")</f>
        <v>2950</v>
      </c>
      <c r="E19" s="12" t="n">
        <f aca="false">IFERROR(AVERAGEIFS('Raw Data'!$E:$E,'Raw Data'!$K:$K,"The Humber",'Raw Data'!$H:$H,"3",'Raw Data'!$A:$A,1),"")</f>
        <v>2.90717687135494</v>
      </c>
      <c r="F19" s="79" t="n">
        <f aca="false">IFERROR(D19*(1+$C$4),"")</f>
        <v>3342.35</v>
      </c>
      <c r="J19" s="71" t="n">
        <f aca="false">'Raw Data'!B19</f>
        <v>588</v>
      </c>
      <c r="K19" s="72" t="n">
        <f aca="false">'Raw Data'!U19</f>
        <v>0</v>
      </c>
      <c r="L19" s="72" t="n">
        <f aca="false">IF('Raw Data'!H19="2",1,0)</f>
        <v>0</v>
      </c>
      <c r="M19" s="72" t="n">
        <f aca="false">IF('Raw Data'!H19="3",1,0)</f>
        <v>0</v>
      </c>
      <c r="N19" s="71" t="n">
        <f aca="false">'Raw Data'!AB19</f>
        <v>2000</v>
      </c>
    </row>
    <row r="20" customFormat="false" ht="15" hidden="false" customHeight="true" outlineLevel="0" collapsed="false">
      <c r="J20" s="71" t="n">
        <f aca="false">'Raw Data'!B20</f>
        <v>988</v>
      </c>
      <c r="K20" s="72" t="n">
        <f aca="false">'Raw Data'!U20</f>
        <v>1</v>
      </c>
      <c r="L20" s="72" t="n">
        <f aca="false">IF('Raw Data'!H20="2",1,0)</f>
        <v>0</v>
      </c>
      <c r="M20" s="72" t="n">
        <f aca="false">IF('Raw Data'!H20="3",1,0)</f>
        <v>1</v>
      </c>
      <c r="N20" s="71" t="n">
        <f aca="false">'Raw Data'!AB20</f>
        <v>3200</v>
      </c>
    </row>
    <row r="21" customFormat="false" ht="15" hidden="false" customHeight="true" outlineLevel="0" collapsed="false">
      <c r="A21" s="80" t="s">
        <v>146</v>
      </c>
      <c r="J21" s="71" t="n">
        <f aca="false">'Raw Data'!B21</f>
        <v>797</v>
      </c>
      <c r="K21" s="72" t="n">
        <f aca="false">'Raw Data'!U21</f>
        <v>1</v>
      </c>
      <c r="L21" s="72" t="n">
        <f aca="false">IF('Raw Data'!H21="2",1,0)</f>
        <v>1</v>
      </c>
      <c r="M21" s="72" t="n">
        <f aca="false">IF('Raw Data'!H21="3",1,0)</f>
        <v>0</v>
      </c>
      <c r="N21" s="71" t="n">
        <f aca="false">'Raw Data'!AB21</f>
        <v>2500</v>
      </c>
    </row>
    <row r="22" customFormat="false" ht="15" hidden="false" customHeight="true" outlineLevel="0" collapsed="false">
      <c r="A22" s="1" t="s">
        <v>147</v>
      </c>
      <c r="C22" s="16" t="n">
        <f aca="false">E17*$H$2+E18*$H$3+E19*$H$4</f>
        <v>3.27636258093546</v>
      </c>
      <c r="J22" s="71" t="n">
        <f aca="false">'Raw Data'!B22</f>
        <v>816</v>
      </c>
      <c r="K22" s="72" t="n">
        <f aca="false">'Raw Data'!U22</f>
        <v>0</v>
      </c>
      <c r="L22" s="72" t="n">
        <f aca="false">IF('Raw Data'!H22="2",1,0)</f>
        <v>1</v>
      </c>
      <c r="M22" s="72" t="n">
        <f aca="false">IF('Raw Data'!H22="3",1,0)</f>
        <v>0</v>
      </c>
      <c r="N22" s="71" t="n">
        <f aca="false">'Raw Data'!AB22</f>
        <v>2400</v>
      </c>
    </row>
    <row r="23" customFormat="false" ht="15" hidden="false" customHeight="true" outlineLevel="0" collapsed="false">
      <c r="A23" s="1" t="s">
        <v>148</v>
      </c>
      <c r="C23" s="16" t="n">
        <f aca="false">E11*$H$2+E12*$H$3+E13*$H$4</f>
        <v>3.27636258093546</v>
      </c>
      <c r="J23" s="71" t="n">
        <f aca="false">'Raw Data'!B23</f>
        <v>617</v>
      </c>
      <c r="K23" s="72" t="n">
        <f aca="false">'Raw Data'!U23</f>
        <v>1</v>
      </c>
      <c r="L23" s="72" t="n">
        <f aca="false">IF('Raw Data'!H23="2",1,0)</f>
        <v>0</v>
      </c>
      <c r="M23" s="72" t="n">
        <f aca="false">IF('Raw Data'!H23="3",1,0)</f>
        <v>0</v>
      </c>
      <c r="N23" s="71" t="n">
        <f aca="false">'Raw Data'!AB23</f>
        <v>2100</v>
      </c>
    </row>
    <row r="24" customFormat="false" ht="15" hidden="false" customHeight="true" outlineLevel="0" collapsed="false">
      <c r="A24" s="1" t="s">
        <v>149</v>
      </c>
      <c r="C24" s="81" t="n">
        <f aca="false">C4</f>
        <v>0.133</v>
      </c>
      <c r="J24" s="71" t="n">
        <f aca="false">'Raw Data'!B24</f>
        <v>751</v>
      </c>
      <c r="K24" s="72" t="n">
        <f aca="false">'Raw Data'!U24</f>
        <v>1</v>
      </c>
      <c r="L24" s="72" t="n">
        <f aca="false">IF('Raw Data'!H24="2",1,0)</f>
        <v>1</v>
      </c>
      <c r="M24" s="72" t="n">
        <f aca="false">IF('Raw Data'!H24="3",1,0)</f>
        <v>0</v>
      </c>
      <c r="N24" s="71" t="n">
        <f aca="false">'Raw Data'!AB24</f>
        <v>2500</v>
      </c>
    </row>
    <row r="25" customFormat="false" ht="15" hidden="false" customHeight="true" outlineLevel="0" collapsed="false">
      <c r="A25" s="3" t="s">
        <v>150</v>
      </c>
      <c r="C25" s="47" t="n">
        <f aca="false">C22*(1+C4)</f>
        <v>3.71211880419987</v>
      </c>
      <c r="J25" s="71" t="n">
        <f aca="false">'Raw Data'!B25</f>
        <v>694</v>
      </c>
      <c r="K25" s="72" t="n">
        <f aca="false">'Raw Data'!U25</f>
        <v>1</v>
      </c>
      <c r="L25" s="72" t="n">
        <f aca="false">IF('Raw Data'!H25="2",1,0)</f>
        <v>1</v>
      </c>
      <c r="M25" s="72" t="n">
        <f aca="false">IF('Raw Data'!H25="3",1,0)</f>
        <v>0</v>
      </c>
      <c r="N25" s="71" t="n">
        <f aca="false">'Raw Data'!AB25</f>
        <v>2400</v>
      </c>
    </row>
    <row r="26" customFormat="false" ht="15" hidden="false" customHeight="true" outlineLevel="0" collapsed="false">
      <c r="A26" s="1" t="s">
        <v>151</v>
      </c>
      <c r="C26" s="16" t="n">
        <f aca="false">C23*(1+C4)</f>
        <v>3.71211880419987</v>
      </c>
      <c r="J26" s="71" t="n">
        <f aca="false">'Raw Data'!B26</f>
        <v>715</v>
      </c>
      <c r="K26" s="72" t="n">
        <f aca="false">'Raw Data'!U26</f>
        <v>0</v>
      </c>
      <c r="L26" s="72" t="n">
        <f aca="false">IF('Raw Data'!H26="2",1,0)</f>
        <v>1</v>
      </c>
      <c r="M26" s="72" t="n">
        <f aca="false">IF('Raw Data'!H26="3",1,0)</f>
        <v>0</v>
      </c>
      <c r="N26" s="71" t="n">
        <f aca="false">'Raw Data'!AB26</f>
        <v>2600</v>
      </c>
    </row>
    <row r="27" customFormat="false" ht="15" hidden="false" customHeight="true" outlineLevel="0" collapsed="false">
      <c r="A27" s="1" t="s">
        <v>152</v>
      </c>
      <c r="C27" s="82" t="n">
        <v>3.9</v>
      </c>
      <c r="J27" s="71" t="n">
        <f aca="false">'Raw Data'!B27</f>
        <v>694</v>
      </c>
      <c r="K27" s="72" t="n">
        <f aca="false">'Raw Data'!U27</f>
        <v>0</v>
      </c>
      <c r="L27" s="72" t="n">
        <f aca="false">IF('Raw Data'!H27="2",1,0)</f>
        <v>0</v>
      </c>
      <c r="M27" s="72" t="n">
        <f aca="false">IF('Raw Data'!H27="3",1,0)</f>
        <v>0</v>
      </c>
      <c r="N27" s="71" t="n">
        <f aca="false">'Raw Data'!AB27</f>
        <v>2150</v>
      </c>
    </row>
    <row r="28" customFormat="false" ht="15" hidden="false" customHeight="true" outlineLevel="0" collapsed="false">
      <c r="A28" s="1" t="s">
        <v>153</v>
      </c>
      <c r="C28" s="81" t="n">
        <f aca="false">C25/C27-1</f>
        <v>-0.0481746655897768</v>
      </c>
      <c r="J28" s="71"/>
      <c r="K28" s="72"/>
      <c r="L28" s="72"/>
      <c r="M28" s="72"/>
      <c r="N28" s="71"/>
    </row>
    <row r="29" customFormat="false" ht="15" hidden="false" customHeight="true" outlineLevel="0" collapsed="false">
      <c r="J29" s="71"/>
      <c r="K29" s="72"/>
      <c r="L29" s="72"/>
      <c r="M29" s="72"/>
      <c r="N29" s="71"/>
    </row>
    <row r="30" customFormat="false" ht="15" hidden="false" customHeight="true" outlineLevel="0" collapsed="false">
      <c r="J30" s="71"/>
      <c r="K30" s="72"/>
      <c r="L30" s="72"/>
      <c r="M30" s="72"/>
      <c r="N30" s="71"/>
    </row>
    <row r="31" customFormat="false" ht="15" hidden="false" customHeight="true" outlineLevel="0" collapsed="false">
      <c r="J31" s="71"/>
      <c r="K31" s="72"/>
      <c r="L31" s="72"/>
      <c r="M31" s="72"/>
      <c r="N31" s="71"/>
    </row>
    <row r="32" customFormat="false" ht="15" hidden="false" customHeight="true" outlineLevel="0" collapsed="false">
      <c r="J32" s="71"/>
      <c r="K32" s="72"/>
      <c r="L32" s="72"/>
      <c r="M32" s="72"/>
      <c r="N32" s="71"/>
    </row>
    <row r="33" customFormat="false" ht="15" hidden="false" customHeight="true" outlineLevel="0" collapsed="false">
      <c r="J33" s="71"/>
      <c r="K33" s="72"/>
      <c r="L33" s="72"/>
      <c r="M33" s="72"/>
      <c r="N33" s="71"/>
    </row>
    <row r="34" customFormat="false" ht="15" hidden="false" customHeight="true" outlineLevel="0" collapsed="false">
      <c r="J34" s="71"/>
      <c r="K34" s="72"/>
      <c r="L34" s="72"/>
      <c r="M34" s="72"/>
      <c r="N34" s="71"/>
    </row>
    <row r="35" customFormat="false" ht="15" hidden="false" customHeight="true" outlineLevel="0" collapsed="false">
      <c r="J35" s="71"/>
      <c r="K35" s="72"/>
      <c r="L35" s="72"/>
      <c r="M35" s="72"/>
      <c r="N35" s="71"/>
    </row>
    <row r="36" customFormat="false" ht="15" hidden="false" customHeight="true" outlineLevel="0" collapsed="false">
      <c r="J36" s="83"/>
      <c r="K36" s="1"/>
      <c r="L36" s="1"/>
      <c r="M36" s="1"/>
      <c r="N36" s="8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2" style="1" width="7"/>
    <col collapsed="false" customWidth="true" hidden="false" outlineLevel="0" max="5" min="5" style="1" width="8"/>
    <col collapsed="false" customWidth="true" hidden="false" outlineLevel="0" max="6" min="6" style="1" width="9"/>
    <col collapsed="false" customWidth="true" hidden="false" outlineLevel="0" max="10" min="10" style="1" width="11"/>
    <col collapsed="false" customWidth="true" hidden="false" outlineLevel="0" max="11" min="11" style="1" width="16"/>
    <col collapsed="false" customWidth="true" hidden="false" outlineLevel="0" max="14" min="12" style="1" width="17"/>
    <col collapsed="false" customWidth="true" hidden="false" outlineLevel="0" max="15" min="15" style="1" width="8"/>
    <col collapsed="false" customWidth="true" hidden="false" outlineLevel="0" max="16" min="16" style="1" width="22"/>
    <col collapsed="false" customWidth="true" hidden="false" outlineLevel="0" max="18" min="17" style="1" width="6"/>
    <col collapsed="false" customWidth="true" hidden="false" outlineLevel="0" max="19" min="19" style="1" width="9"/>
    <col collapsed="false" customWidth="true" hidden="false" outlineLevel="0" max="20" min="20" style="1" width="13"/>
    <col collapsed="false" customWidth="true" hidden="false" outlineLevel="0" max="21" min="21" style="1" width="6"/>
    <col collapsed="false" customWidth="true" hidden="false" outlineLevel="0" max="25" min="25" style="1" width="8"/>
    <col collapsed="false" customWidth="true" hidden="false" outlineLevel="0" max="26" min="26" style="1" width="16"/>
    <col collapsed="false" customWidth="true" hidden="false" outlineLevel="0" max="27" min="27" style="1" width="30"/>
    <col collapsed="false" customWidth="true" hidden="false" outlineLevel="0" max="29" min="28" style="1" width="10"/>
    <col collapsed="false" customWidth="true" hidden="false" outlineLevel="0" max="31" min="30" style="1" width="8"/>
    <col collapsed="false" customWidth="true" hidden="false" outlineLevel="0" max="37" min="37" style="1" width="26"/>
    <col collapsed="false" customWidth="true" hidden="false" outlineLevel="0" max="38" min="38" style="1" width="34"/>
    <col collapsed="false" customWidth="true" hidden="false" outlineLevel="0" max="40" min="39" style="1" width="12"/>
  </cols>
  <sheetData>
    <row r="1" customFormat="false" ht="25.5" hidden="false" customHeight="true" outlineLevel="0" collapsed="false">
      <c r="A1" s="57" t="s">
        <v>154</v>
      </c>
      <c r="B1" s="57" t="s">
        <v>155</v>
      </c>
      <c r="C1" s="57" t="s">
        <v>45</v>
      </c>
      <c r="D1" s="57" t="s">
        <v>156</v>
      </c>
      <c r="E1" s="57" t="s">
        <v>157</v>
      </c>
      <c r="F1" s="57" t="s">
        <v>158</v>
      </c>
      <c r="G1" s="57" t="s">
        <v>159</v>
      </c>
      <c r="H1" s="57" t="s">
        <v>160</v>
      </c>
      <c r="I1" s="57" t="s">
        <v>161</v>
      </c>
      <c r="J1" s="57" t="s">
        <v>162</v>
      </c>
      <c r="K1" s="57" t="s">
        <v>163</v>
      </c>
      <c r="L1" s="57" t="s">
        <v>164</v>
      </c>
      <c r="M1" s="57" t="s">
        <v>165</v>
      </c>
      <c r="N1" s="57" t="s">
        <v>99</v>
      </c>
      <c r="O1" s="57" t="s">
        <v>166</v>
      </c>
      <c r="P1" s="57" t="s">
        <v>167</v>
      </c>
      <c r="Q1" s="57" t="s">
        <v>137</v>
      </c>
      <c r="R1" s="57" t="s">
        <v>168</v>
      </c>
      <c r="S1" s="57" t="s">
        <v>169</v>
      </c>
      <c r="T1" s="57" t="s">
        <v>170</v>
      </c>
      <c r="U1" s="57" t="s">
        <v>171</v>
      </c>
      <c r="V1" s="57" t="s">
        <v>172</v>
      </c>
      <c r="W1" s="57" t="s">
        <v>173</v>
      </c>
      <c r="X1" s="57" t="s">
        <v>174</v>
      </c>
      <c r="Y1" s="57" t="s">
        <v>175</v>
      </c>
      <c r="Z1" s="57" t="s">
        <v>176</v>
      </c>
      <c r="AA1" s="57" t="s">
        <v>177</v>
      </c>
      <c r="AB1" s="57" t="s">
        <v>178</v>
      </c>
      <c r="AC1" s="57" t="s">
        <v>179</v>
      </c>
      <c r="AD1" s="57" t="s">
        <v>180</v>
      </c>
      <c r="AE1" s="57" t="s">
        <v>181</v>
      </c>
      <c r="AF1" s="57" t="s">
        <v>182</v>
      </c>
      <c r="AG1" s="57" t="s">
        <v>183</v>
      </c>
      <c r="AH1" s="57" t="s">
        <v>184</v>
      </c>
      <c r="AI1" s="57" t="s">
        <v>185</v>
      </c>
      <c r="AJ1" s="57" t="s">
        <v>186</v>
      </c>
      <c r="AK1" s="57" t="s">
        <v>187</v>
      </c>
      <c r="AL1" s="57" t="s">
        <v>188</v>
      </c>
      <c r="AM1" s="57" t="s">
        <v>189</v>
      </c>
      <c r="AN1" s="57" t="s">
        <v>190</v>
      </c>
    </row>
    <row r="2" customFormat="false" ht="15" hidden="false" customHeight="true" outlineLevel="0" collapsed="false">
      <c r="A2" s="9" t="n">
        <f aca="false">IF(AND(ISNUMBER(B2),B2&gt;0,ISNUMBER(AB2),AB2&gt;0,J2&gt;=Data_Summary!$C$1),1,0)</f>
        <v>1</v>
      </c>
      <c r="B2" s="84" t="n">
        <v>694</v>
      </c>
      <c r="C2" s="14" t="n">
        <f aca="false">IF(ISNUMBER(AB2),AB2,"")</f>
        <v>2450</v>
      </c>
      <c r="D2" s="85" t="n">
        <f aca="false">IF(ISNUMBER(C2),C2-U2*Data_Summary!$C$2,"")</f>
        <v>2317.66543061721</v>
      </c>
      <c r="E2" s="86" t="n">
        <f aca="false">IFERROR(C2/B2,"")</f>
        <v>3.53025936599424</v>
      </c>
      <c r="F2" s="16" t="n">
        <f aca="false">IFERROR(D2/B2,"")</f>
        <v>3.33957554843978</v>
      </c>
      <c r="G2" s="13" t="str">
        <f aca="false">Q2</f>
        <v>2</v>
      </c>
      <c r="H2" s="13" t="str">
        <f aca="false">IFERROR(LEFT(G2,1),"")</f>
        <v>2</v>
      </c>
      <c r="I2" s="13" t="n">
        <f aca="false">IF(LEN(G2)&gt;1,1,0)</f>
        <v>0</v>
      </c>
      <c r="J2" s="87" t="n">
        <v>46136</v>
      </c>
      <c r="K2" s="1" t="s">
        <v>10</v>
      </c>
      <c r="L2" s="1" t="s">
        <v>105</v>
      </c>
      <c r="M2" s="1" t="s">
        <v>191</v>
      </c>
      <c r="N2" s="1" t="s">
        <v>107</v>
      </c>
      <c r="O2" s="1" t="s">
        <v>192</v>
      </c>
      <c r="P2" s="1" t="s">
        <v>193</v>
      </c>
      <c r="Q2" s="1" t="s">
        <v>194</v>
      </c>
      <c r="R2" s="31" t="n">
        <v>2</v>
      </c>
      <c r="S2" s="88" t="n">
        <v>694</v>
      </c>
      <c r="T2" s="1" t="s">
        <v>195</v>
      </c>
      <c r="U2" s="31" t="n">
        <v>1</v>
      </c>
      <c r="V2" s="1" t="s">
        <v>196</v>
      </c>
      <c r="W2" s="1" t="s">
        <v>197</v>
      </c>
      <c r="X2" s="1" t="s">
        <v>198</v>
      </c>
      <c r="Y2" s="1" t="s">
        <v>199</v>
      </c>
      <c r="Z2" s="1" t="s">
        <v>131</v>
      </c>
      <c r="AA2" s="1" t="s">
        <v>200</v>
      </c>
      <c r="AB2" s="88" t="n">
        <v>2450</v>
      </c>
      <c r="AC2" s="88" t="n">
        <v>2450</v>
      </c>
      <c r="AD2" s="16" t="n">
        <f aca="false">IFERROR(AB2/B2,"")</f>
        <v>3.53025936599424</v>
      </c>
      <c r="AE2" s="16" t="n">
        <f aca="false">IFERROR(AC2/B2,"")</f>
        <v>3.53025936599424</v>
      </c>
      <c r="AF2" s="1" t="s">
        <v>201</v>
      </c>
      <c r="AG2" s="1" t="s">
        <v>201</v>
      </c>
      <c r="AH2" s="1" t="s">
        <v>201</v>
      </c>
      <c r="AI2" s="1" t="s">
        <v>202</v>
      </c>
      <c r="AJ2" s="1" t="s">
        <v>203</v>
      </c>
      <c r="AK2" s="1" t="s">
        <v>204</v>
      </c>
      <c r="AL2" s="1" t="s">
        <v>205</v>
      </c>
      <c r="AM2" s="1" t="s">
        <v>108</v>
      </c>
      <c r="AN2" s="12" t="n">
        <f aca="false">IFERROR(E2*(1+IF(AM2="Apartment",Data_Summary!$C$3,0)),"")</f>
        <v>3.53025936599424</v>
      </c>
    </row>
    <row r="3" customFormat="false" ht="15" hidden="false" customHeight="true" outlineLevel="0" collapsed="false">
      <c r="A3" s="9" t="n">
        <f aca="false">IF(AND(ISNUMBER(B3),B3&gt;0,ISNUMBER(AB3),AB3&gt;0,J3&gt;=Data_Summary!$C$1),1,0)</f>
        <v>1</v>
      </c>
      <c r="B3" s="84" t="n">
        <v>694</v>
      </c>
      <c r="C3" s="14" t="n">
        <f aca="false">IF(ISNUMBER(AB3),AB3,"")</f>
        <v>2000</v>
      </c>
      <c r="D3" s="85" t="n">
        <f aca="false">IF(ISNUMBER(C3),C3-U3*Data_Summary!$C$2,"")</f>
        <v>2000</v>
      </c>
      <c r="E3" s="86" t="n">
        <f aca="false">IFERROR(C3/B3,"")</f>
        <v>2.88184438040346</v>
      </c>
      <c r="F3" s="16" t="n">
        <f aca="false">IFERROR(D3/B3,"")</f>
        <v>2.88184438040346</v>
      </c>
      <c r="G3" s="13" t="str">
        <f aca="false">Q3</f>
        <v>1+1</v>
      </c>
      <c r="H3" s="13" t="str">
        <f aca="false">IFERROR(LEFT(G3,1),"")</f>
        <v>1</v>
      </c>
      <c r="I3" s="13" t="n">
        <f aca="false">IF(LEN(G3)&gt;1,1,0)</f>
        <v>1</v>
      </c>
      <c r="J3" s="87" t="n">
        <v>46134</v>
      </c>
      <c r="K3" s="1" t="s">
        <v>10</v>
      </c>
      <c r="L3" s="1" t="s">
        <v>105</v>
      </c>
      <c r="M3" s="1" t="s">
        <v>191</v>
      </c>
      <c r="N3" s="1" t="s">
        <v>107</v>
      </c>
      <c r="O3" s="1" t="s">
        <v>206</v>
      </c>
      <c r="P3" s="1" t="s">
        <v>207</v>
      </c>
      <c r="Q3" s="1" t="s">
        <v>208</v>
      </c>
      <c r="R3" s="31" t="n">
        <v>1</v>
      </c>
      <c r="S3" s="88" t="n">
        <v>694</v>
      </c>
      <c r="T3" s="1" t="s">
        <v>195</v>
      </c>
      <c r="U3" s="31" t="n">
        <v>0</v>
      </c>
      <c r="V3" s="1" t="s">
        <v>201</v>
      </c>
      <c r="W3" s="1" t="s">
        <v>209</v>
      </c>
      <c r="X3" s="1" t="s">
        <v>198</v>
      </c>
      <c r="Y3" s="1" t="s">
        <v>210</v>
      </c>
      <c r="Z3" s="1" t="s">
        <v>131</v>
      </c>
      <c r="AA3" s="1" t="s">
        <v>200</v>
      </c>
      <c r="AB3" s="88" t="n">
        <v>2000</v>
      </c>
      <c r="AC3" s="88" t="n">
        <v>2050</v>
      </c>
      <c r="AD3" s="16" t="n">
        <f aca="false">IFERROR(AB3/B3,"")</f>
        <v>2.88184438040346</v>
      </c>
      <c r="AE3" s="16" t="n">
        <f aca="false">IFERROR(AC3/B3,"")</f>
        <v>2.95389048991354</v>
      </c>
      <c r="AF3" s="1" t="s">
        <v>201</v>
      </c>
      <c r="AG3" s="1" t="s">
        <v>201</v>
      </c>
      <c r="AH3" s="1" t="s">
        <v>201</v>
      </c>
      <c r="AI3" s="1" t="s">
        <v>211</v>
      </c>
      <c r="AJ3" s="1" t="s">
        <v>212</v>
      </c>
      <c r="AK3" s="1" t="s">
        <v>213</v>
      </c>
      <c r="AL3" s="1" t="s">
        <v>205</v>
      </c>
      <c r="AM3" s="1" t="s">
        <v>108</v>
      </c>
      <c r="AN3" s="12" t="n">
        <f aca="false">IFERROR(E3*(1+IF(AM3="Apartment",Data_Summary!$C$3,0)),"")</f>
        <v>2.88184438040346</v>
      </c>
    </row>
    <row r="4" customFormat="false" ht="15" hidden="false" customHeight="true" outlineLevel="0" collapsed="false">
      <c r="A4" s="9" t="n">
        <f aca="false">IF(AND(ISNUMBER(B4),B4&gt;0,ISNUMBER(AB4),AB4&gt;0,J4&gt;=Data_Summary!$C$1),1,0)</f>
        <v>1</v>
      </c>
      <c r="B4" s="84" t="n">
        <v>715</v>
      </c>
      <c r="C4" s="14" t="n">
        <f aca="false">IF(ISNUMBER(AB4),AB4,"")</f>
        <v>2350</v>
      </c>
      <c r="D4" s="85" t="n">
        <f aca="false">IF(ISNUMBER(C4),C4-U4*Data_Summary!$C$2,"")</f>
        <v>2217.66543061721</v>
      </c>
      <c r="E4" s="86" t="n">
        <f aca="false">IFERROR(C4/B4,"")</f>
        <v>3.28671328671329</v>
      </c>
      <c r="F4" s="16" t="n">
        <f aca="false">IFERROR(D4/B4,"")</f>
        <v>3.1016299728912</v>
      </c>
      <c r="G4" s="13" t="str">
        <f aca="false">Q4</f>
        <v>2</v>
      </c>
      <c r="H4" s="13" t="str">
        <f aca="false">IFERROR(LEFT(G4,1),"")</f>
        <v>2</v>
      </c>
      <c r="I4" s="13" t="n">
        <f aca="false">IF(LEN(G4)&gt;1,1,0)</f>
        <v>0</v>
      </c>
      <c r="J4" s="87" t="n">
        <v>46133</v>
      </c>
      <c r="K4" s="1" t="s">
        <v>10</v>
      </c>
      <c r="L4" s="1" t="s">
        <v>105</v>
      </c>
      <c r="M4" s="1" t="s">
        <v>191</v>
      </c>
      <c r="N4" s="1" t="s">
        <v>107</v>
      </c>
      <c r="O4" s="1" t="s">
        <v>214</v>
      </c>
      <c r="P4" s="1" t="s">
        <v>215</v>
      </c>
      <c r="Q4" s="1" t="s">
        <v>194</v>
      </c>
      <c r="R4" s="31" t="n">
        <v>2</v>
      </c>
      <c r="S4" s="88" t="n">
        <v>715</v>
      </c>
      <c r="T4" s="1" t="s">
        <v>216</v>
      </c>
      <c r="U4" s="31" t="n">
        <v>1</v>
      </c>
      <c r="V4" s="1" t="s">
        <v>196</v>
      </c>
      <c r="W4" s="1" t="s">
        <v>217</v>
      </c>
      <c r="X4" s="1" t="s">
        <v>198</v>
      </c>
      <c r="Y4" s="1" t="s">
        <v>218</v>
      </c>
      <c r="Z4" s="1" t="s">
        <v>131</v>
      </c>
      <c r="AA4" s="1" t="s">
        <v>200</v>
      </c>
      <c r="AB4" s="88" t="n">
        <v>2350</v>
      </c>
      <c r="AC4" s="88" t="n">
        <v>2400</v>
      </c>
      <c r="AD4" s="16" t="n">
        <f aca="false">IFERROR(AB4/B4,"")</f>
        <v>3.28671328671329</v>
      </c>
      <c r="AE4" s="16" t="n">
        <f aca="false">IFERROR(AC4/B4,"")</f>
        <v>3.35664335664336</v>
      </c>
      <c r="AF4" s="1" t="s">
        <v>201</v>
      </c>
      <c r="AG4" s="1" t="s">
        <v>201</v>
      </c>
      <c r="AH4" s="1" t="s">
        <v>201</v>
      </c>
      <c r="AI4" s="1" t="s">
        <v>219</v>
      </c>
      <c r="AJ4" s="1" t="s">
        <v>220</v>
      </c>
      <c r="AK4" s="1" t="s">
        <v>221</v>
      </c>
      <c r="AL4" s="1" t="s">
        <v>205</v>
      </c>
      <c r="AM4" s="1" t="s">
        <v>108</v>
      </c>
      <c r="AN4" s="12" t="n">
        <f aca="false">IFERROR(E4*(1+IF(AM4="Apartment",Data_Summary!$C$3,0)),"")</f>
        <v>3.28671328671329</v>
      </c>
    </row>
    <row r="5" customFormat="false" ht="15" hidden="false" customHeight="true" outlineLevel="0" collapsed="false">
      <c r="A5" s="9" t="n">
        <f aca="false">IF(AND(ISNUMBER(B5),B5&gt;0,ISNUMBER(AB5),AB5&gt;0,J5&gt;=Data_Summary!$C$1),1,0)</f>
        <v>1</v>
      </c>
      <c r="B5" s="84" t="n">
        <v>617</v>
      </c>
      <c r="C5" s="14" t="n">
        <f aca="false">IF(ISNUMBER(AB5),AB5,"")</f>
        <v>1999</v>
      </c>
      <c r="D5" s="85" t="n">
        <f aca="false">IF(ISNUMBER(C5),C5-U5*Data_Summary!$C$2,"")</f>
        <v>1866.66543061721</v>
      </c>
      <c r="E5" s="86" t="n">
        <f aca="false">IFERROR(C5/B5,"")</f>
        <v>3.23987034035656</v>
      </c>
      <c r="F5" s="16" t="n">
        <f aca="false">IFERROR(D5/B5,"")</f>
        <v>3.02538967685123</v>
      </c>
      <c r="G5" s="13" t="str">
        <f aca="false">Q5</f>
        <v>1</v>
      </c>
      <c r="H5" s="13" t="str">
        <f aca="false">IFERROR(LEFT(G5,1),"")</f>
        <v>1</v>
      </c>
      <c r="I5" s="13" t="n">
        <f aca="false">IF(LEN(G5)&gt;1,1,0)</f>
        <v>0</v>
      </c>
      <c r="J5" s="87" t="n">
        <v>46125</v>
      </c>
      <c r="K5" s="1" t="s">
        <v>10</v>
      </c>
      <c r="L5" s="1" t="s">
        <v>105</v>
      </c>
      <c r="M5" s="1" t="s">
        <v>191</v>
      </c>
      <c r="N5" s="1" t="s">
        <v>107</v>
      </c>
      <c r="O5" s="1" t="s">
        <v>222</v>
      </c>
      <c r="P5" s="1" t="s">
        <v>223</v>
      </c>
      <c r="Q5" s="1" t="s">
        <v>224</v>
      </c>
      <c r="R5" s="31" t="n">
        <v>1</v>
      </c>
      <c r="S5" s="88" t="n">
        <v>617</v>
      </c>
      <c r="T5" s="1" t="s">
        <v>195</v>
      </c>
      <c r="U5" s="31" t="n">
        <v>1</v>
      </c>
      <c r="V5" s="1" t="s">
        <v>196</v>
      </c>
      <c r="W5" s="1" t="s">
        <v>217</v>
      </c>
      <c r="X5" s="1" t="s">
        <v>198</v>
      </c>
      <c r="Y5" s="1" t="s">
        <v>225</v>
      </c>
      <c r="Z5" s="1" t="s">
        <v>131</v>
      </c>
      <c r="AA5" s="1" t="s">
        <v>200</v>
      </c>
      <c r="AB5" s="88" t="n">
        <v>1999</v>
      </c>
      <c r="AC5" s="88" t="n">
        <v>1999</v>
      </c>
      <c r="AD5" s="16" t="n">
        <f aca="false">IFERROR(AB5/B5,"")</f>
        <v>3.23987034035656</v>
      </c>
      <c r="AE5" s="16" t="n">
        <f aca="false">IFERROR(AC5/B5,"")</f>
        <v>3.23987034035656</v>
      </c>
      <c r="AF5" s="1" t="s">
        <v>201</v>
      </c>
      <c r="AG5" s="1" t="s">
        <v>201</v>
      </c>
      <c r="AH5" s="1" t="s">
        <v>201</v>
      </c>
      <c r="AI5" s="1" t="s">
        <v>226</v>
      </c>
      <c r="AJ5" s="1" t="s">
        <v>227</v>
      </c>
      <c r="AK5" s="1" t="s">
        <v>228</v>
      </c>
      <c r="AL5" s="1" t="s">
        <v>205</v>
      </c>
      <c r="AM5" s="1" t="s">
        <v>108</v>
      </c>
      <c r="AN5" s="12" t="n">
        <f aca="false">IFERROR(E5*(1+IF(AM5="Apartment",Data_Summary!$C$3,0)),"")</f>
        <v>3.23987034035656</v>
      </c>
    </row>
    <row r="6" customFormat="false" ht="15" hidden="false" customHeight="true" outlineLevel="0" collapsed="false">
      <c r="A6" s="9" t="n">
        <f aca="false">IF(AND(ISNUMBER(B6),B6&gt;0,ISNUMBER(AB6),AB6&gt;0,J6&gt;=Data_Summary!$C$1),1,0)</f>
        <v>1</v>
      </c>
      <c r="B6" s="84" t="n">
        <v>751</v>
      </c>
      <c r="C6" s="14" t="n">
        <f aca="false">IF(ISNUMBER(AB6),AB6,"")</f>
        <v>2100</v>
      </c>
      <c r="D6" s="85" t="n">
        <f aca="false">IF(ISNUMBER(C6),C6-U6*Data_Summary!$C$2,"")</f>
        <v>2100</v>
      </c>
      <c r="E6" s="86" t="n">
        <f aca="false">IFERROR(C6/B6,"")</f>
        <v>2.79627163781625</v>
      </c>
      <c r="F6" s="16" t="n">
        <f aca="false">IFERROR(D6/B6,"")</f>
        <v>2.79627163781625</v>
      </c>
      <c r="G6" s="13" t="str">
        <f aca="false">Q6</f>
        <v>1+1</v>
      </c>
      <c r="H6" s="13" t="str">
        <f aca="false">IFERROR(LEFT(G6,1),"")</f>
        <v>1</v>
      </c>
      <c r="I6" s="13" t="n">
        <f aca="false">IF(LEN(G6)&gt;1,1,0)</f>
        <v>1</v>
      </c>
      <c r="J6" s="87" t="n">
        <v>46113</v>
      </c>
      <c r="K6" s="1" t="s">
        <v>10</v>
      </c>
      <c r="L6" s="1" t="s">
        <v>105</v>
      </c>
      <c r="M6" s="1" t="s">
        <v>191</v>
      </c>
      <c r="N6" s="1" t="s">
        <v>107</v>
      </c>
      <c r="O6" s="1" t="s">
        <v>229</v>
      </c>
      <c r="P6" s="1" t="s">
        <v>230</v>
      </c>
      <c r="Q6" s="1" t="s">
        <v>208</v>
      </c>
      <c r="R6" s="31" t="n">
        <v>2</v>
      </c>
      <c r="S6" s="88" t="n">
        <v>751</v>
      </c>
      <c r="T6" s="1" t="s">
        <v>216</v>
      </c>
      <c r="U6" s="31" t="n">
        <v>0</v>
      </c>
      <c r="V6" s="1" t="s">
        <v>201</v>
      </c>
      <c r="W6" s="1" t="s">
        <v>209</v>
      </c>
      <c r="X6" s="1" t="s">
        <v>198</v>
      </c>
      <c r="Y6" s="1" t="s">
        <v>218</v>
      </c>
      <c r="Z6" s="1" t="s">
        <v>131</v>
      </c>
      <c r="AA6" s="1" t="s">
        <v>200</v>
      </c>
      <c r="AB6" s="88" t="n">
        <v>2100</v>
      </c>
      <c r="AC6" s="88" t="n">
        <v>2100</v>
      </c>
      <c r="AD6" s="16" t="n">
        <f aca="false">IFERROR(AB6/B6,"")</f>
        <v>2.79627163781625</v>
      </c>
      <c r="AE6" s="16" t="n">
        <f aca="false">IFERROR(AC6/B6,"")</f>
        <v>2.79627163781625</v>
      </c>
      <c r="AF6" s="1" t="s">
        <v>201</v>
      </c>
      <c r="AG6" s="1" t="s">
        <v>201</v>
      </c>
      <c r="AH6" s="1" t="s">
        <v>201</v>
      </c>
      <c r="AI6" s="1" t="s">
        <v>231</v>
      </c>
      <c r="AJ6" s="1" t="s">
        <v>232</v>
      </c>
      <c r="AK6" s="1" t="s">
        <v>233</v>
      </c>
      <c r="AL6" s="1" t="s">
        <v>205</v>
      </c>
      <c r="AM6" s="1" t="s">
        <v>108</v>
      </c>
      <c r="AN6" s="12" t="n">
        <f aca="false">IFERROR(E6*(1+IF(AM6="Apartment",Data_Summary!$C$3,0)),"")</f>
        <v>2.79627163781625</v>
      </c>
    </row>
    <row r="7" customFormat="false" ht="15" hidden="false" customHeight="true" outlineLevel="0" collapsed="false">
      <c r="A7" s="9" t="n">
        <f aca="false">IF(AND(ISNUMBER(B7),B7&gt;0,ISNUMBER(AB7),AB7&gt;0,J7&gt;=Data_Summary!$C$1),1,0)</f>
        <v>1</v>
      </c>
      <c r="B7" s="84" t="n">
        <v>816</v>
      </c>
      <c r="C7" s="14" t="n">
        <f aca="false">IF(ISNUMBER(AB7),AB7,"")</f>
        <v>2575</v>
      </c>
      <c r="D7" s="85" t="n">
        <f aca="false">IF(ISNUMBER(C7),C7-U7*Data_Summary!$C$2,"")</f>
        <v>2442.66543061721</v>
      </c>
      <c r="E7" s="86" t="n">
        <f aca="false">IFERROR(C7/B7,"")</f>
        <v>3.15563725490196</v>
      </c>
      <c r="F7" s="16" t="n">
        <f aca="false">IFERROR(D7/B7,"")</f>
        <v>2.99346253752109</v>
      </c>
      <c r="G7" s="13" t="str">
        <f aca="false">Q7</f>
        <v>2</v>
      </c>
      <c r="H7" s="13" t="str">
        <f aca="false">IFERROR(LEFT(G7,1),"")</f>
        <v>2</v>
      </c>
      <c r="I7" s="13" t="n">
        <f aca="false">IF(LEN(G7)&gt;1,1,0)</f>
        <v>0</v>
      </c>
      <c r="J7" s="87" t="n">
        <v>46109</v>
      </c>
      <c r="K7" s="1" t="s">
        <v>10</v>
      </c>
      <c r="L7" s="1" t="s">
        <v>105</v>
      </c>
      <c r="M7" s="1" t="s">
        <v>191</v>
      </c>
      <c r="N7" s="1" t="s">
        <v>107</v>
      </c>
      <c r="O7" s="1" t="s">
        <v>234</v>
      </c>
      <c r="P7" s="1" t="s">
        <v>235</v>
      </c>
      <c r="Q7" s="1" t="s">
        <v>194</v>
      </c>
      <c r="R7" s="31" t="n">
        <v>2</v>
      </c>
      <c r="S7" s="88" t="n">
        <v>816</v>
      </c>
      <c r="T7" s="1" t="s">
        <v>236</v>
      </c>
      <c r="U7" s="31" t="n">
        <v>1</v>
      </c>
      <c r="V7" s="1" t="s">
        <v>196</v>
      </c>
      <c r="W7" s="1" t="s">
        <v>209</v>
      </c>
      <c r="X7" s="1" t="s">
        <v>198</v>
      </c>
      <c r="Y7" s="1" t="s">
        <v>225</v>
      </c>
      <c r="Z7" s="1" t="s">
        <v>131</v>
      </c>
      <c r="AA7" s="1" t="s">
        <v>200</v>
      </c>
      <c r="AB7" s="88" t="n">
        <v>2575</v>
      </c>
      <c r="AC7" s="88" t="n">
        <v>2600</v>
      </c>
      <c r="AD7" s="16" t="n">
        <f aca="false">IFERROR(AB7/B7,"")</f>
        <v>3.15563725490196</v>
      </c>
      <c r="AE7" s="16" t="n">
        <f aca="false">IFERROR(AC7/B7,"")</f>
        <v>3.18627450980392</v>
      </c>
      <c r="AF7" s="1" t="s">
        <v>201</v>
      </c>
      <c r="AG7" s="1" t="s">
        <v>201</v>
      </c>
      <c r="AH7" s="1" t="s">
        <v>201</v>
      </c>
      <c r="AI7" s="1" t="s">
        <v>237</v>
      </c>
      <c r="AJ7" s="1" t="s">
        <v>238</v>
      </c>
      <c r="AK7" s="1" t="s">
        <v>239</v>
      </c>
      <c r="AL7" s="1" t="s">
        <v>205</v>
      </c>
      <c r="AM7" s="1" t="s">
        <v>108</v>
      </c>
      <c r="AN7" s="12" t="n">
        <f aca="false">IFERROR(E7*(1+IF(AM7="Apartment",Data_Summary!$C$3,0)),"")</f>
        <v>3.15563725490196</v>
      </c>
    </row>
    <row r="8" customFormat="false" ht="15" hidden="false" customHeight="true" outlineLevel="0" collapsed="false">
      <c r="A8" s="9" t="n">
        <f aca="false">IF(AND(ISNUMBER(B8),B8&gt;0,ISNUMBER(AB8),AB8&gt;0,J8&gt;=Data_Summary!$C$1),1,0)</f>
        <v>1</v>
      </c>
      <c r="B8" s="84" t="n">
        <v>583</v>
      </c>
      <c r="C8" s="14" t="n">
        <f aca="false">IF(ISNUMBER(AB8),AB8,"")</f>
        <v>2200</v>
      </c>
      <c r="D8" s="85" t="n">
        <f aca="false">IF(ISNUMBER(C8),C8-U8*Data_Summary!$C$2,"")</f>
        <v>2067.66543061721</v>
      </c>
      <c r="E8" s="86" t="n">
        <f aca="false">IFERROR(C8/B8,"")</f>
        <v>3.77358490566038</v>
      </c>
      <c r="F8" s="16" t="n">
        <f aca="false">IFERROR(D8/B8,"")</f>
        <v>3.54659593587857</v>
      </c>
      <c r="G8" s="13" t="str">
        <f aca="false">Q8</f>
        <v>1+1</v>
      </c>
      <c r="H8" s="13" t="str">
        <f aca="false">IFERROR(LEFT(G8,1),"")</f>
        <v>1</v>
      </c>
      <c r="I8" s="13" t="n">
        <f aca="false">IF(LEN(G8)&gt;1,1,0)</f>
        <v>1</v>
      </c>
      <c r="J8" s="87" t="n">
        <v>46105</v>
      </c>
      <c r="K8" s="1" t="s">
        <v>10</v>
      </c>
      <c r="L8" s="1" t="s">
        <v>105</v>
      </c>
      <c r="M8" s="1" t="s">
        <v>191</v>
      </c>
      <c r="N8" s="1" t="s">
        <v>107</v>
      </c>
      <c r="O8" s="1" t="s">
        <v>240</v>
      </c>
      <c r="P8" s="1" t="s">
        <v>241</v>
      </c>
      <c r="Q8" s="1" t="s">
        <v>208</v>
      </c>
      <c r="R8" s="31" t="n">
        <v>1</v>
      </c>
      <c r="S8" s="88" t="n">
        <v>583</v>
      </c>
      <c r="T8" s="1" t="s">
        <v>242</v>
      </c>
      <c r="U8" s="31" t="n">
        <v>1</v>
      </c>
      <c r="V8" s="1" t="s">
        <v>196</v>
      </c>
      <c r="W8" s="1" t="s">
        <v>217</v>
      </c>
      <c r="X8" s="1" t="s">
        <v>198</v>
      </c>
      <c r="Y8" s="1" t="s">
        <v>210</v>
      </c>
      <c r="Z8" s="1" t="s">
        <v>131</v>
      </c>
      <c r="AA8" s="1" t="s">
        <v>200</v>
      </c>
      <c r="AB8" s="88" t="n">
        <v>2200</v>
      </c>
      <c r="AC8" s="88" t="n">
        <v>2200</v>
      </c>
      <c r="AD8" s="16" t="n">
        <f aca="false">IFERROR(AB8/B8,"")</f>
        <v>3.77358490566038</v>
      </c>
      <c r="AE8" s="16" t="n">
        <f aca="false">IFERROR(AC8/B8,"")</f>
        <v>3.77358490566038</v>
      </c>
      <c r="AF8" s="1" t="s">
        <v>201</v>
      </c>
      <c r="AG8" s="1" t="s">
        <v>201</v>
      </c>
      <c r="AH8" s="1" t="s">
        <v>201</v>
      </c>
      <c r="AI8" s="1" t="s">
        <v>243</v>
      </c>
      <c r="AJ8" s="1" t="s">
        <v>244</v>
      </c>
      <c r="AK8" s="1" t="s">
        <v>245</v>
      </c>
      <c r="AL8" s="1" t="s">
        <v>205</v>
      </c>
      <c r="AM8" s="1" t="s">
        <v>108</v>
      </c>
      <c r="AN8" s="12" t="n">
        <f aca="false">IFERROR(E8*(1+IF(AM8="Apartment",Data_Summary!$C$3,0)),"")</f>
        <v>3.77358490566038</v>
      </c>
    </row>
    <row r="9" customFormat="false" ht="15" hidden="false" customHeight="true" outlineLevel="0" collapsed="false">
      <c r="A9" s="9" t="n">
        <f aca="false">IF(AND(ISNUMBER(B9),B9&gt;0,ISNUMBER(AB9),AB9&gt;0,J9&gt;=Data_Summary!$C$1),1,0)</f>
        <v>1</v>
      </c>
      <c r="B9" s="84" t="n">
        <v>988</v>
      </c>
      <c r="C9" s="14" t="n">
        <f aca="false">IF(ISNUMBER(AB9),AB9,"")</f>
        <v>2550</v>
      </c>
      <c r="D9" s="85" t="n">
        <f aca="false">IF(ISNUMBER(C9),C9-U9*Data_Summary!$C$2,"")</f>
        <v>2550</v>
      </c>
      <c r="E9" s="86" t="n">
        <f aca="false">IFERROR(C9/B9,"")</f>
        <v>2.58097165991903</v>
      </c>
      <c r="F9" s="16" t="n">
        <f aca="false">IFERROR(D9/B9,"")</f>
        <v>2.58097165991903</v>
      </c>
      <c r="G9" s="13" t="str">
        <f aca="false">Q9</f>
        <v>3</v>
      </c>
      <c r="H9" s="13" t="str">
        <f aca="false">IFERROR(LEFT(G9,1),"")</f>
        <v>3</v>
      </c>
      <c r="I9" s="13" t="n">
        <f aca="false">IF(LEN(G9)&gt;1,1,0)</f>
        <v>0</v>
      </c>
      <c r="J9" s="87" t="n">
        <v>46084</v>
      </c>
      <c r="K9" s="1" t="s">
        <v>10</v>
      </c>
      <c r="L9" s="1" t="s">
        <v>105</v>
      </c>
      <c r="M9" s="1" t="s">
        <v>191</v>
      </c>
      <c r="N9" s="1" t="s">
        <v>107</v>
      </c>
      <c r="O9" s="1" t="s">
        <v>246</v>
      </c>
      <c r="P9" s="1" t="s">
        <v>247</v>
      </c>
      <c r="Q9" s="1" t="s">
        <v>248</v>
      </c>
      <c r="R9" s="31" t="n">
        <v>2</v>
      </c>
      <c r="S9" s="88" t="n">
        <v>988</v>
      </c>
      <c r="T9" s="1" t="s">
        <v>249</v>
      </c>
      <c r="U9" s="31" t="n">
        <v>0</v>
      </c>
      <c r="V9" s="1" t="s">
        <v>201</v>
      </c>
      <c r="W9" s="1" t="s">
        <v>217</v>
      </c>
      <c r="X9" s="1" t="s">
        <v>198</v>
      </c>
      <c r="Y9" s="1" t="s">
        <v>250</v>
      </c>
      <c r="Z9" s="1" t="s">
        <v>131</v>
      </c>
      <c r="AA9" s="1" t="s">
        <v>200</v>
      </c>
      <c r="AB9" s="88" t="n">
        <v>2550</v>
      </c>
      <c r="AC9" s="88" t="n">
        <v>2700</v>
      </c>
      <c r="AD9" s="16" t="n">
        <f aca="false">IFERROR(AB9/B9,"")</f>
        <v>2.58097165991903</v>
      </c>
      <c r="AE9" s="16" t="n">
        <f aca="false">IFERROR(AC9/B9,"")</f>
        <v>2.73279352226721</v>
      </c>
      <c r="AF9" s="1" t="s">
        <v>201</v>
      </c>
      <c r="AG9" s="1" t="s">
        <v>201</v>
      </c>
      <c r="AH9" s="1" t="s">
        <v>201</v>
      </c>
      <c r="AI9" s="1" t="s">
        <v>251</v>
      </c>
      <c r="AJ9" s="1" t="s">
        <v>252</v>
      </c>
      <c r="AK9" s="1" t="s">
        <v>253</v>
      </c>
      <c r="AL9" s="1" t="s">
        <v>205</v>
      </c>
      <c r="AM9" s="1" t="s">
        <v>108</v>
      </c>
      <c r="AN9" s="12" t="n">
        <f aca="false">IFERROR(E9*(1+IF(AM9="Apartment",Data_Summary!$C$3,0)),"")</f>
        <v>2.58097165991903</v>
      </c>
    </row>
    <row r="10" customFormat="false" ht="15" hidden="false" customHeight="true" outlineLevel="0" collapsed="false">
      <c r="A10" s="9" t="n">
        <f aca="false">IF(AND(ISNUMBER(B10),B10&gt;0,ISNUMBER(AB10),AB10&gt;0,J10&gt;=Data_Summary!$C$1),1,0)</f>
        <v>1</v>
      </c>
      <c r="B10" s="84" t="n">
        <v>694</v>
      </c>
      <c r="C10" s="14" t="n">
        <f aca="false">IF(ISNUMBER(AB10),AB10,"")</f>
        <v>2199</v>
      </c>
      <c r="D10" s="85" t="n">
        <f aca="false">IF(ISNUMBER(C10),C10-U10*Data_Summary!$C$2,"")</f>
        <v>2066.66543061721</v>
      </c>
      <c r="E10" s="86" t="n">
        <f aca="false">IFERROR(C10/B10,"")</f>
        <v>3.1685878962536</v>
      </c>
      <c r="F10" s="16" t="n">
        <f aca="false">IFERROR(D10/B10,"")</f>
        <v>2.97790407869915</v>
      </c>
      <c r="G10" s="13" t="str">
        <f aca="false">Q10</f>
        <v>1+1</v>
      </c>
      <c r="H10" s="13" t="str">
        <f aca="false">IFERROR(LEFT(G10,1),"")</f>
        <v>1</v>
      </c>
      <c r="I10" s="13" t="n">
        <f aca="false">IF(LEN(G10)&gt;1,1,0)</f>
        <v>1</v>
      </c>
      <c r="J10" s="87" t="n">
        <v>46044</v>
      </c>
      <c r="K10" s="1" t="s">
        <v>10</v>
      </c>
      <c r="L10" s="1" t="s">
        <v>105</v>
      </c>
      <c r="M10" s="1" t="s">
        <v>191</v>
      </c>
      <c r="N10" s="1" t="s">
        <v>107</v>
      </c>
      <c r="O10" s="1" t="s">
        <v>254</v>
      </c>
      <c r="P10" s="1" t="s">
        <v>255</v>
      </c>
      <c r="Q10" s="1" t="s">
        <v>208</v>
      </c>
      <c r="R10" s="31" t="n">
        <v>1</v>
      </c>
      <c r="S10" s="88" t="n">
        <v>694</v>
      </c>
      <c r="T10" s="1" t="s">
        <v>195</v>
      </c>
      <c r="U10" s="31" t="n">
        <v>1</v>
      </c>
      <c r="V10" s="1" t="s">
        <v>196</v>
      </c>
      <c r="W10" s="1" t="s">
        <v>217</v>
      </c>
      <c r="X10" s="1" t="s">
        <v>198</v>
      </c>
      <c r="Y10" s="1" t="s">
        <v>210</v>
      </c>
      <c r="Z10" s="1" t="s">
        <v>131</v>
      </c>
      <c r="AA10" s="1" t="s">
        <v>200</v>
      </c>
      <c r="AB10" s="88" t="n">
        <v>2199</v>
      </c>
      <c r="AC10" s="88" t="n">
        <v>2199</v>
      </c>
      <c r="AD10" s="16" t="n">
        <f aca="false">IFERROR(AB10/B10,"")</f>
        <v>3.1685878962536</v>
      </c>
      <c r="AE10" s="16" t="n">
        <f aca="false">IFERROR(AC10/B10,"")</f>
        <v>3.1685878962536</v>
      </c>
      <c r="AF10" s="1" t="s">
        <v>201</v>
      </c>
      <c r="AG10" s="1" t="s">
        <v>201</v>
      </c>
      <c r="AH10" s="1" t="s">
        <v>201</v>
      </c>
      <c r="AI10" s="1" t="s">
        <v>256</v>
      </c>
      <c r="AJ10" s="1" t="s">
        <v>257</v>
      </c>
      <c r="AK10" s="1" t="s">
        <v>258</v>
      </c>
      <c r="AL10" s="1" t="s">
        <v>205</v>
      </c>
      <c r="AM10" s="1" t="s">
        <v>108</v>
      </c>
      <c r="AN10" s="12" t="n">
        <f aca="false">IFERROR(E10*(1+IF(AM10="Apartment",Data_Summary!$C$3,0)),"")</f>
        <v>3.1685878962536</v>
      </c>
    </row>
    <row r="11" customFormat="false" ht="15" hidden="false" customHeight="true" outlineLevel="0" collapsed="false">
      <c r="A11" s="9" t="n">
        <f aca="false">IF(AND(ISNUMBER(B11),B11&gt;0,ISNUMBER(AB11),AB11&gt;0,J11&gt;=Data_Summary!$C$1),1,0)</f>
        <v>1</v>
      </c>
      <c r="B11" s="84" t="n">
        <v>588</v>
      </c>
      <c r="C11" s="14" t="n">
        <f aca="false">IF(ISNUMBER(AB11),AB11,"")</f>
        <v>2100</v>
      </c>
      <c r="D11" s="85" t="n">
        <f aca="false">IF(ISNUMBER(C11),C11-U11*Data_Summary!$C$2,"")</f>
        <v>2100</v>
      </c>
      <c r="E11" s="86" t="n">
        <f aca="false">IFERROR(C11/B11,"")</f>
        <v>3.57142857142857</v>
      </c>
      <c r="F11" s="16" t="n">
        <f aca="false">IFERROR(D11/B11,"")</f>
        <v>3.57142857142857</v>
      </c>
      <c r="G11" s="13" t="str">
        <f aca="false">Q11</f>
        <v>1+1</v>
      </c>
      <c r="H11" s="13" t="str">
        <f aca="false">IFERROR(LEFT(G11,1),"")</f>
        <v>1</v>
      </c>
      <c r="I11" s="13" t="n">
        <f aca="false">IF(LEN(G11)&gt;1,1,0)</f>
        <v>1</v>
      </c>
      <c r="J11" s="87" t="n">
        <v>46043</v>
      </c>
      <c r="K11" s="1" t="s">
        <v>10</v>
      </c>
      <c r="L11" s="1" t="s">
        <v>105</v>
      </c>
      <c r="M11" s="1" t="s">
        <v>191</v>
      </c>
      <c r="N11" s="1" t="s">
        <v>107</v>
      </c>
      <c r="O11" s="1" t="s">
        <v>259</v>
      </c>
      <c r="P11" s="1" t="s">
        <v>260</v>
      </c>
      <c r="Q11" s="1" t="s">
        <v>208</v>
      </c>
      <c r="R11" s="31" t="n">
        <v>1</v>
      </c>
      <c r="S11" s="88" t="n">
        <v>588</v>
      </c>
      <c r="T11" s="1" t="s">
        <v>242</v>
      </c>
      <c r="U11" s="31" t="n">
        <v>0</v>
      </c>
      <c r="V11" s="1" t="s">
        <v>201</v>
      </c>
      <c r="W11" s="1" t="s">
        <v>217</v>
      </c>
      <c r="X11" s="1" t="s">
        <v>198</v>
      </c>
      <c r="Y11" s="1" t="s">
        <v>199</v>
      </c>
      <c r="Z11" s="1" t="s">
        <v>131</v>
      </c>
      <c r="AA11" s="1" t="s">
        <v>200</v>
      </c>
      <c r="AB11" s="88" t="n">
        <v>2100</v>
      </c>
      <c r="AC11" s="88" t="n">
        <v>2100</v>
      </c>
      <c r="AD11" s="16" t="n">
        <f aca="false">IFERROR(AB11/B11,"")</f>
        <v>3.57142857142857</v>
      </c>
      <c r="AE11" s="16" t="n">
        <f aca="false">IFERROR(AC11/B11,"")</f>
        <v>3.57142857142857</v>
      </c>
      <c r="AF11" s="1" t="s">
        <v>196</v>
      </c>
      <c r="AG11" s="1" t="s">
        <v>201</v>
      </c>
      <c r="AH11" s="1" t="s">
        <v>201</v>
      </c>
      <c r="AI11" s="1" t="s">
        <v>261</v>
      </c>
      <c r="AJ11" s="1" t="s">
        <v>262</v>
      </c>
      <c r="AK11" s="1" t="s">
        <v>263</v>
      </c>
      <c r="AL11" s="1" t="s">
        <v>205</v>
      </c>
      <c r="AM11" s="1" t="s">
        <v>108</v>
      </c>
      <c r="AN11" s="12" t="n">
        <f aca="false">IFERROR(E11*(1+IF(AM11="Apartment",Data_Summary!$C$3,0)),"")</f>
        <v>3.57142857142857</v>
      </c>
    </row>
    <row r="12" customFormat="false" ht="15" hidden="false" customHeight="true" outlineLevel="0" collapsed="false">
      <c r="A12" s="89" t="n">
        <f aca="false">IF(AND(ISNUMBER(B12),B12&gt;0,ISNUMBER(AB12),AB12&gt;0,J12&gt;=Data_Summary!$C$1),1,0)</f>
        <v>1</v>
      </c>
      <c r="B12" s="90" t="n">
        <v>1135</v>
      </c>
      <c r="C12" s="91" t="n">
        <f aca="false">IF(ISNUMBER(AB12),AB12,"")</f>
        <v>3000</v>
      </c>
      <c r="D12" s="92" t="n">
        <f aca="false">IF(ISNUMBER(C12),C12-U12*Data_Summary!$C$2,"")</f>
        <v>2867.66543061721</v>
      </c>
      <c r="E12" s="93" t="n">
        <f aca="false">IFERROR(C12/B12,"")</f>
        <v>2.6431718061674</v>
      </c>
      <c r="F12" s="94" t="n">
        <f aca="false">IFERROR(D12/B12,"")</f>
        <v>2.52657747190943</v>
      </c>
      <c r="G12" s="89" t="str">
        <f aca="false">Q12</f>
        <v>3</v>
      </c>
      <c r="H12" s="89" t="str">
        <f aca="false">IFERROR(LEFT(G12,1),"")</f>
        <v>3</v>
      </c>
      <c r="I12" s="89" t="n">
        <f aca="false">IF(LEN(G12)&gt;1,1,0)</f>
        <v>0</v>
      </c>
      <c r="J12" s="95" t="n">
        <v>46010</v>
      </c>
      <c r="K12" s="89" t="s">
        <v>10</v>
      </c>
      <c r="L12" s="89" t="s">
        <v>105</v>
      </c>
      <c r="M12" s="89" t="s">
        <v>191</v>
      </c>
      <c r="N12" s="89" t="s">
        <v>107</v>
      </c>
      <c r="O12" s="89" t="s">
        <v>264</v>
      </c>
      <c r="P12" s="89" t="s">
        <v>265</v>
      </c>
      <c r="Q12" s="89" t="s">
        <v>248</v>
      </c>
      <c r="R12" s="89" t="n">
        <v>2</v>
      </c>
      <c r="S12" s="91" t="n">
        <v>1135</v>
      </c>
      <c r="T12" s="89" t="s">
        <v>266</v>
      </c>
      <c r="U12" s="89" t="n">
        <v>1</v>
      </c>
      <c r="V12" s="89" t="s">
        <v>196</v>
      </c>
      <c r="W12" s="89" t="s">
        <v>217</v>
      </c>
      <c r="X12" s="89" t="s">
        <v>198</v>
      </c>
      <c r="Y12" s="89" t="s">
        <v>199</v>
      </c>
      <c r="Z12" s="89" t="s">
        <v>131</v>
      </c>
      <c r="AA12" s="89" t="s">
        <v>200</v>
      </c>
      <c r="AB12" s="88" t="n">
        <v>3000</v>
      </c>
      <c r="AC12" s="88" t="n">
        <v>2995</v>
      </c>
      <c r="AD12" s="94" t="n">
        <f aca="false">IFERROR(AB12/B12,"")</f>
        <v>2.6431718061674</v>
      </c>
      <c r="AE12" s="94" t="n">
        <f aca="false">IFERROR(AC12/B12,"")</f>
        <v>2.63876651982379</v>
      </c>
      <c r="AF12" s="89" t="s">
        <v>201</v>
      </c>
      <c r="AG12" s="89" t="s">
        <v>201</v>
      </c>
      <c r="AH12" s="89" t="s">
        <v>201</v>
      </c>
      <c r="AI12" s="89" t="s">
        <v>267</v>
      </c>
      <c r="AJ12" s="89" t="s">
        <v>268</v>
      </c>
      <c r="AK12" s="89" t="s">
        <v>269</v>
      </c>
      <c r="AL12" s="89" t="s">
        <v>270</v>
      </c>
      <c r="AM12" s="89" t="s">
        <v>108</v>
      </c>
      <c r="AN12" s="94" t="n">
        <f aca="false">IFERROR(E12*(1+IF(AM12="Apartment",Data_Summary!$C$3,0)),"")</f>
        <v>2.6431718061674</v>
      </c>
    </row>
    <row r="13" customFormat="false" ht="15" hidden="false" customHeight="true" outlineLevel="0" collapsed="false">
      <c r="A13" s="9" t="n">
        <f aca="false">IF(AND(ISNUMBER(B13),B13&gt;0,ISNUMBER(AB13),AB13&gt;0,J13&gt;=Data_Summary!$C$1),1,0)</f>
        <v>1</v>
      </c>
      <c r="B13" s="84" t="n">
        <v>694</v>
      </c>
      <c r="C13" s="14" t="n">
        <f aca="false">IF(ISNUMBER(AB13),AB13,"")</f>
        <v>2400</v>
      </c>
      <c r="D13" s="85" t="n">
        <f aca="false">IF(ISNUMBER(C13),C13-U13*Data_Summary!$C$2,"")</f>
        <v>2267.66543061721</v>
      </c>
      <c r="E13" s="86" t="n">
        <f aca="false">IFERROR(C13/B13,"")</f>
        <v>3.45821325648415</v>
      </c>
      <c r="F13" s="16" t="n">
        <f aca="false">IFERROR(D13/B13,"")</f>
        <v>3.26752943892969</v>
      </c>
      <c r="G13" s="13" t="str">
        <f aca="false">Q13</f>
        <v>2</v>
      </c>
      <c r="H13" s="13" t="str">
        <f aca="false">IFERROR(LEFT(G13,1),"")</f>
        <v>2</v>
      </c>
      <c r="I13" s="13" t="n">
        <f aca="false">IF(LEN(G13)&gt;1,1,0)</f>
        <v>0</v>
      </c>
      <c r="J13" s="87" t="n">
        <v>46009</v>
      </c>
      <c r="K13" s="1" t="s">
        <v>10</v>
      </c>
      <c r="L13" s="1" t="s">
        <v>105</v>
      </c>
      <c r="M13" s="1" t="s">
        <v>191</v>
      </c>
      <c r="N13" s="1" t="s">
        <v>107</v>
      </c>
      <c r="O13" s="1" t="s">
        <v>271</v>
      </c>
      <c r="P13" s="1" t="s">
        <v>272</v>
      </c>
      <c r="Q13" s="1" t="s">
        <v>194</v>
      </c>
      <c r="R13" s="31" t="n">
        <v>2</v>
      </c>
      <c r="S13" s="88" t="n">
        <v>694</v>
      </c>
      <c r="T13" s="1" t="s">
        <v>195</v>
      </c>
      <c r="U13" s="31" t="n">
        <v>1</v>
      </c>
      <c r="V13" s="1" t="s">
        <v>196</v>
      </c>
      <c r="W13" s="1" t="s">
        <v>217</v>
      </c>
      <c r="X13" s="1" t="s">
        <v>198</v>
      </c>
      <c r="Y13" s="1" t="s">
        <v>210</v>
      </c>
      <c r="Z13" s="1" t="s">
        <v>131</v>
      </c>
      <c r="AA13" s="1" t="s">
        <v>200</v>
      </c>
      <c r="AB13" s="88" t="n">
        <v>2400</v>
      </c>
      <c r="AC13" s="88" t="n">
        <v>2500</v>
      </c>
      <c r="AD13" s="16" t="n">
        <f aca="false">IFERROR(AB13/B13,"")</f>
        <v>3.45821325648415</v>
      </c>
      <c r="AE13" s="16" t="n">
        <f aca="false">IFERROR(AC13/B13,"")</f>
        <v>3.60230547550432</v>
      </c>
      <c r="AF13" s="1" t="s">
        <v>201</v>
      </c>
      <c r="AG13" s="1" t="s">
        <v>201</v>
      </c>
      <c r="AH13" s="1" t="s">
        <v>201</v>
      </c>
      <c r="AI13" s="1" t="s">
        <v>273</v>
      </c>
      <c r="AJ13" s="1" t="s">
        <v>274</v>
      </c>
      <c r="AK13" s="1" t="s">
        <v>275</v>
      </c>
      <c r="AL13" s="1" t="s">
        <v>205</v>
      </c>
      <c r="AM13" s="1" t="s">
        <v>108</v>
      </c>
      <c r="AN13" s="12" t="n">
        <f aca="false">IFERROR(E13*(1+IF(AM13="Apartment",Data_Summary!$C$3,0)),"")</f>
        <v>3.45821325648415</v>
      </c>
    </row>
    <row r="14" customFormat="false" ht="15" hidden="false" customHeight="true" outlineLevel="0" collapsed="false">
      <c r="A14" s="9" t="n">
        <f aca="false">IF(AND(ISNUMBER(B14),B14&gt;0,ISNUMBER(AB14),AB14&gt;0,J14&gt;=Data_Summary!$C$1),1,0)</f>
        <v>1</v>
      </c>
      <c r="B14" s="84" t="n">
        <v>788</v>
      </c>
      <c r="C14" s="14" t="n">
        <f aca="false">IF(ISNUMBER(AB14),AB14,"")</f>
        <v>2600</v>
      </c>
      <c r="D14" s="85" t="n">
        <f aca="false">IF(ISNUMBER(C14),C14-U14*Data_Summary!$C$2,"")</f>
        <v>2467.66543061721</v>
      </c>
      <c r="E14" s="86" t="n">
        <f aca="false">IFERROR(C14/B14,"")</f>
        <v>3.2994923857868</v>
      </c>
      <c r="F14" s="16" t="n">
        <f aca="false">IFERROR(D14/B14,"")</f>
        <v>3.13155511499646</v>
      </c>
      <c r="G14" s="13" t="str">
        <f aca="false">Q14</f>
        <v>2</v>
      </c>
      <c r="H14" s="13" t="str">
        <f aca="false">IFERROR(LEFT(G14,1),"")</f>
        <v>2</v>
      </c>
      <c r="I14" s="13" t="n">
        <f aca="false">IF(LEN(G14)&gt;1,1,0)</f>
        <v>0</v>
      </c>
      <c r="J14" s="87" t="n">
        <v>45959</v>
      </c>
      <c r="K14" s="1" t="s">
        <v>10</v>
      </c>
      <c r="L14" s="1" t="s">
        <v>105</v>
      </c>
      <c r="M14" s="1" t="s">
        <v>191</v>
      </c>
      <c r="N14" s="1" t="s">
        <v>107</v>
      </c>
      <c r="O14" s="1" t="s">
        <v>276</v>
      </c>
      <c r="P14" s="1" t="s">
        <v>277</v>
      </c>
      <c r="Q14" s="1" t="s">
        <v>194</v>
      </c>
      <c r="R14" s="31" t="n">
        <v>2</v>
      </c>
      <c r="S14" s="88" t="n">
        <v>788</v>
      </c>
      <c r="T14" s="1" t="s">
        <v>236</v>
      </c>
      <c r="U14" s="31" t="n">
        <v>1</v>
      </c>
      <c r="V14" s="1" t="s">
        <v>196</v>
      </c>
      <c r="W14" s="1" t="s">
        <v>217</v>
      </c>
      <c r="X14" s="1" t="s">
        <v>198</v>
      </c>
      <c r="Y14" s="1" t="s">
        <v>218</v>
      </c>
      <c r="Z14" s="1" t="s">
        <v>131</v>
      </c>
      <c r="AA14" s="1" t="s">
        <v>200</v>
      </c>
      <c r="AB14" s="88" t="n">
        <v>2600</v>
      </c>
      <c r="AC14" s="88" t="n">
        <v>2600</v>
      </c>
      <c r="AD14" s="16" t="n">
        <f aca="false">IFERROR(AB14/B14,"")</f>
        <v>3.2994923857868</v>
      </c>
      <c r="AE14" s="16" t="n">
        <f aca="false">IFERROR(AC14/B14,"")</f>
        <v>3.2994923857868</v>
      </c>
      <c r="AF14" s="1" t="s">
        <v>201</v>
      </c>
      <c r="AG14" s="1" t="s">
        <v>201</v>
      </c>
      <c r="AH14" s="1" t="s">
        <v>201</v>
      </c>
      <c r="AI14" s="1" t="s">
        <v>278</v>
      </c>
      <c r="AJ14" s="1" t="s">
        <v>279</v>
      </c>
      <c r="AK14" s="1" t="s">
        <v>280</v>
      </c>
      <c r="AL14" s="1" t="s">
        <v>281</v>
      </c>
      <c r="AM14" s="1" t="s">
        <v>108</v>
      </c>
      <c r="AN14" s="12" t="n">
        <f aca="false">IFERROR(E14*(1+IF(AM14="Apartment",Data_Summary!$C$3,0)),"")</f>
        <v>3.2994923857868</v>
      </c>
    </row>
    <row r="15" customFormat="false" ht="15" hidden="false" customHeight="true" outlineLevel="0" collapsed="false">
      <c r="A15" s="9" t="n">
        <f aca="false">IF(AND(ISNUMBER(B15),B15&gt;0,ISNUMBER(AB15),AB15&gt;0,J15&gt;=Data_Summary!$C$1),1,0)</f>
        <v>1</v>
      </c>
      <c r="B15" s="84" t="n">
        <v>988</v>
      </c>
      <c r="C15" s="14" t="n">
        <f aca="false">IF(ISNUMBER(AB15),AB15,"")</f>
        <v>3000</v>
      </c>
      <c r="D15" s="85" t="n">
        <f aca="false">IF(ISNUMBER(C15),C15-U15*Data_Summary!$C$2,"")</f>
        <v>2867.66543061721</v>
      </c>
      <c r="E15" s="86" t="n">
        <f aca="false">IFERROR(C15/B15,"")</f>
        <v>3.03643724696356</v>
      </c>
      <c r="F15" s="16" t="n">
        <f aca="false">IFERROR(D15/B15,"")</f>
        <v>2.90249537511863</v>
      </c>
      <c r="G15" s="13" t="str">
        <f aca="false">Q15</f>
        <v>3</v>
      </c>
      <c r="H15" s="13" t="str">
        <f aca="false">IFERROR(LEFT(G15,1),"")</f>
        <v>3</v>
      </c>
      <c r="I15" s="13" t="n">
        <f aca="false">IF(LEN(G15)&gt;1,1,0)</f>
        <v>0</v>
      </c>
      <c r="J15" s="87" t="n">
        <v>45933</v>
      </c>
      <c r="K15" s="1" t="s">
        <v>10</v>
      </c>
      <c r="L15" s="1" t="s">
        <v>105</v>
      </c>
      <c r="M15" s="1" t="s">
        <v>191</v>
      </c>
      <c r="N15" s="1" t="s">
        <v>107</v>
      </c>
      <c r="O15" s="1" t="s">
        <v>282</v>
      </c>
      <c r="P15" s="1" t="s">
        <v>283</v>
      </c>
      <c r="Q15" s="1" t="s">
        <v>248</v>
      </c>
      <c r="R15" s="31" t="n">
        <v>2</v>
      </c>
      <c r="S15" s="88" t="n">
        <v>988</v>
      </c>
      <c r="T15" s="1" t="s">
        <v>249</v>
      </c>
      <c r="U15" s="31" t="n">
        <v>1</v>
      </c>
      <c r="V15" s="1" t="s">
        <v>196</v>
      </c>
      <c r="W15" s="1" t="s">
        <v>217</v>
      </c>
      <c r="X15" s="1" t="s">
        <v>198</v>
      </c>
      <c r="Y15" s="1" t="s">
        <v>250</v>
      </c>
      <c r="Z15" s="1" t="s">
        <v>131</v>
      </c>
      <c r="AA15" s="1" t="s">
        <v>200</v>
      </c>
      <c r="AB15" s="88" t="n">
        <v>3000</v>
      </c>
      <c r="AC15" s="88" t="n">
        <v>3000</v>
      </c>
      <c r="AD15" s="16" t="n">
        <f aca="false">IFERROR(AB15/B15,"")</f>
        <v>3.03643724696356</v>
      </c>
      <c r="AE15" s="16" t="n">
        <f aca="false">IFERROR(AC15/B15,"")</f>
        <v>3.03643724696356</v>
      </c>
      <c r="AF15" s="1" t="s">
        <v>201</v>
      </c>
      <c r="AG15" s="1" t="s">
        <v>201</v>
      </c>
      <c r="AH15" s="1" t="s">
        <v>201</v>
      </c>
      <c r="AI15" s="1" t="s">
        <v>284</v>
      </c>
      <c r="AJ15" s="1" t="s">
        <v>285</v>
      </c>
      <c r="AK15" s="1" t="s">
        <v>286</v>
      </c>
      <c r="AL15" s="1" t="s">
        <v>205</v>
      </c>
      <c r="AM15" s="1" t="s">
        <v>108</v>
      </c>
      <c r="AN15" s="12" t="n">
        <f aca="false">IFERROR(E15*(1+IF(AM15="Apartment",Data_Summary!$C$3,0)),"")</f>
        <v>3.03643724696356</v>
      </c>
    </row>
    <row r="16" customFormat="false" ht="15" hidden="false" customHeight="true" outlineLevel="0" collapsed="false">
      <c r="A16" s="9" t="n">
        <f aca="false">IF(AND(ISNUMBER(B16),B16&gt;0,ISNUMBER(AB16),AB16&gt;0,J16&gt;=Data_Summary!$C$1),1,0)</f>
        <v>1</v>
      </c>
      <c r="B16" s="84" t="n">
        <v>556</v>
      </c>
      <c r="C16" s="14" t="n">
        <f aca="false">IF(ISNUMBER(AB16),AB16,"")</f>
        <v>2200</v>
      </c>
      <c r="D16" s="85" t="n">
        <f aca="false">IF(ISNUMBER(C16),C16-U16*Data_Summary!$C$2,"")</f>
        <v>2067.66543061721</v>
      </c>
      <c r="E16" s="86" t="n">
        <f aca="false">IFERROR(C16/B16,"")</f>
        <v>3.9568345323741</v>
      </c>
      <c r="F16" s="16" t="n">
        <f aca="false">IFERROR(D16/B16,"")</f>
        <v>3.71882271693743</v>
      </c>
      <c r="G16" s="13" t="str">
        <f aca="false">Q16</f>
        <v>1</v>
      </c>
      <c r="H16" s="13" t="str">
        <f aca="false">IFERROR(LEFT(G16,1),"")</f>
        <v>1</v>
      </c>
      <c r="I16" s="13" t="n">
        <f aca="false">IF(LEN(G16)&gt;1,1,0)</f>
        <v>0</v>
      </c>
      <c r="J16" s="87" t="n">
        <v>45932</v>
      </c>
      <c r="K16" s="1" t="s">
        <v>10</v>
      </c>
      <c r="L16" s="1" t="s">
        <v>105</v>
      </c>
      <c r="M16" s="1" t="s">
        <v>191</v>
      </c>
      <c r="N16" s="1" t="s">
        <v>107</v>
      </c>
      <c r="O16" s="1" t="s">
        <v>287</v>
      </c>
      <c r="P16" s="1" t="s">
        <v>288</v>
      </c>
      <c r="Q16" s="1" t="s">
        <v>224</v>
      </c>
      <c r="R16" s="31" t="n">
        <v>1</v>
      </c>
      <c r="S16" s="88" t="n">
        <v>556</v>
      </c>
      <c r="T16" s="1" t="s">
        <v>242</v>
      </c>
      <c r="U16" s="31" t="n">
        <v>1</v>
      </c>
      <c r="V16" s="1" t="s">
        <v>196</v>
      </c>
      <c r="W16" s="1" t="s">
        <v>217</v>
      </c>
      <c r="X16" s="1" t="s">
        <v>198</v>
      </c>
      <c r="Y16" s="1" t="s">
        <v>289</v>
      </c>
      <c r="Z16" s="1" t="s">
        <v>131</v>
      </c>
      <c r="AA16" s="1" t="s">
        <v>200</v>
      </c>
      <c r="AB16" s="88" t="n">
        <v>2200</v>
      </c>
      <c r="AC16" s="88" t="n">
        <v>2200</v>
      </c>
      <c r="AD16" s="16" t="n">
        <f aca="false">IFERROR(AB16/B16,"")</f>
        <v>3.9568345323741</v>
      </c>
      <c r="AE16" s="16" t="n">
        <f aca="false">IFERROR(AC16/B16,"")</f>
        <v>3.9568345323741</v>
      </c>
      <c r="AF16" s="1" t="s">
        <v>201</v>
      </c>
      <c r="AG16" s="1" t="s">
        <v>201</v>
      </c>
      <c r="AH16" s="1" t="s">
        <v>201</v>
      </c>
      <c r="AI16" s="1" t="s">
        <v>290</v>
      </c>
      <c r="AJ16" s="1" t="s">
        <v>291</v>
      </c>
      <c r="AK16" s="1" t="s">
        <v>292</v>
      </c>
      <c r="AL16" s="1" t="s">
        <v>205</v>
      </c>
      <c r="AM16" s="1" t="s">
        <v>108</v>
      </c>
      <c r="AN16" s="12" t="n">
        <f aca="false">IFERROR(E16*(1+IF(AM16="Apartment",Data_Summary!$C$3,0)),"")</f>
        <v>3.9568345323741</v>
      </c>
    </row>
    <row r="17" customFormat="false" ht="15" hidden="false" customHeight="true" outlineLevel="0" collapsed="false">
      <c r="A17" s="9" t="n">
        <f aca="false">IF(AND(ISNUMBER(B17),B17&gt;0,ISNUMBER(AB17),AB17&gt;0,J17&gt;=Data_Summary!$C$1),1,0)</f>
        <v>1</v>
      </c>
      <c r="B17" s="84" t="n">
        <v>988</v>
      </c>
      <c r="C17" s="14" t="n">
        <f aca="false">IF(ISNUMBER(AB17),AB17,"")</f>
        <v>3000</v>
      </c>
      <c r="D17" s="85" t="n">
        <f aca="false">IF(ISNUMBER(C17),C17-U17*Data_Summary!$C$2,"")</f>
        <v>2867.66543061721</v>
      </c>
      <c r="E17" s="86" t="n">
        <f aca="false">IFERROR(C17/B17,"")</f>
        <v>3.03643724696356</v>
      </c>
      <c r="F17" s="16" t="n">
        <f aca="false">IFERROR(D17/B17,"")</f>
        <v>2.90249537511863</v>
      </c>
      <c r="G17" s="13" t="str">
        <f aca="false">Q17</f>
        <v>3</v>
      </c>
      <c r="H17" s="13" t="str">
        <f aca="false">IFERROR(LEFT(G17,1),"")</f>
        <v>3</v>
      </c>
      <c r="I17" s="13" t="n">
        <f aca="false">IF(LEN(G17)&gt;1,1,0)</f>
        <v>0</v>
      </c>
      <c r="J17" s="87" t="n">
        <v>45923</v>
      </c>
      <c r="K17" s="1" t="s">
        <v>10</v>
      </c>
      <c r="L17" s="1" t="s">
        <v>105</v>
      </c>
      <c r="M17" s="1" t="s">
        <v>191</v>
      </c>
      <c r="N17" s="1" t="s">
        <v>107</v>
      </c>
      <c r="O17" s="1" t="s">
        <v>293</v>
      </c>
      <c r="P17" s="1" t="s">
        <v>294</v>
      </c>
      <c r="Q17" s="1" t="s">
        <v>248</v>
      </c>
      <c r="R17" s="31" t="n">
        <v>2</v>
      </c>
      <c r="S17" s="88" t="n">
        <v>988</v>
      </c>
      <c r="T17" s="1" t="s">
        <v>249</v>
      </c>
      <c r="U17" s="31" t="n">
        <v>1</v>
      </c>
      <c r="V17" s="1" t="s">
        <v>196</v>
      </c>
      <c r="W17" s="1" t="s">
        <v>217</v>
      </c>
      <c r="X17" s="1" t="s">
        <v>198</v>
      </c>
      <c r="Y17" s="1" t="s">
        <v>250</v>
      </c>
      <c r="Z17" s="1" t="s">
        <v>131</v>
      </c>
      <c r="AA17" s="1" t="s">
        <v>200</v>
      </c>
      <c r="AB17" s="88" t="n">
        <v>3000</v>
      </c>
      <c r="AC17" s="88" t="n">
        <v>3200</v>
      </c>
      <c r="AD17" s="16" t="n">
        <f aca="false">IFERROR(AB17/B17,"")</f>
        <v>3.03643724696356</v>
      </c>
      <c r="AE17" s="16" t="n">
        <f aca="false">IFERROR(AC17/B17,"")</f>
        <v>3.23886639676113</v>
      </c>
      <c r="AF17" s="1" t="s">
        <v>201</v>
      </c>
      <c r="AG17" s="1" t="s">
        <v>201</v>
      </c>
      <c r="AH17" s="1" t="s">
        <v>201</v>
      </c>
      <c r="AI17" s="1" t="s">
        <v>295</v>
      </c>
      <c r="AJ17" s="1" t="s">
        <v>296</v>
      </c>
      <c r="AK17" s="1" t="s">
        <v>297</v>
      </c>
      <c r="AL17" s="1" t="s">
        <v>205</v>
      </c>
      <c r="AM17" s="1" t="s">
        <v>108</v>
      </c>
      <c r="AN17" s="12" t="n">
        <f aca="false">IFERROR(E17*(1+IF(AM17="Apartment",Data_Summary!$C$3,0)),"")</f>
        <v>3.03643724696356</v>
      </c>
    </row>
    <row r="18" customFormat="false" ht="15" hidden="false" customHeight="true" outlineLevel="0" collapsed="false">
      <c r="A18" s="9" t="n">
        <f aca="false">IF(AND(ISNUMBER(B18),B18&gt;0,ISNUMBER(AB18),AB18&gt;0,J18&gt;=Data_Summary!$C$1),1,0)</f>
        <v>1</v>
      </c>
      <c r="B18" s="84" t="n">
        <v>663</v>
      </c>
      <c r="C18" s="14" t="n">
        <f aca="false">IF(ISNUMBER(AB18),AB18,"")</f>
        <v>2300</v>
      </c>
      <c r="D18" s="85" t="n">
        <f aca="false">IF(ISNUMBER(C18),C18-U18*Data_Summary!$C$2,"")</f>
        <v>2167.66543061721</v>
      </c>
      <c r="E18" s="86" t="n">
        <f aca="false">IFERROR(C18/B18,"")</f>
        <v>3.46907993966818</v>
      </c>
      <c r="F18" s="16" t="n">
        <f aca="false">IFERROR(D18/B18,"")</f>
        <v>3.2694802875071</v>
      </c>
      <c r="G18" s="13" t="str">
        <f aca="false">Q18</f>
        <v>1+1</v>
      </c>
      <c r="H18" s="13" t="str">
        <f aca="false">IFERROR(LEFT(G18,1),"")</f>
        <v>1</v>
      </c>
      <c r="I18" s="13" t="n">
        <f aca="false">IF(LEN(G18)&gt;1,1,0)</f>
        <v>1</v>
      </c>
      <c r="J18" s="87" t="n">
        <v>45905</v>
      </c>
      <c r="K18" s="1" t="s">
        <v>10</v>
      </c>
      <c r="L18" s="1" t="s">
        <v>105</v>
      </c>
      <c r="M18" s="1" t="s">
        <v>191</v>
      </c>
      <c r="N18" s="1" t="s">
        <v>107</v>
      </c>
      <c r="O18" s="1" t="s">
        <v>298</v>
      </c>
      <c r="P18" s="1" t="s">
        <v>299</v>
      </c>
      <c r="Q18" s="1" t="s">
        <v>208</v>
      </c>
      <c r="R18" s="31" t="n">
        <v>1</v>
      </c>
      <c r="S18" s="88" t="n">
        <v>663</v>
      </c>
      <c r="T18" s="1" t="s">
        <v>195</v>
      </c>
      <c r="U18" s="31" t="n">
        <v>1</v>
      </c>
      <c r="V18" s="1" t="s">
        <v>196</v>
      </c>
      <c r="W18" s="1" t="s">
        <v>217</v>
      </c>
      <c r="X18" s="1" t="s">
        <v>198</v>
      </c>
      <c r="Y18" s="1" t="s">
        <v>218</v>
      </c>
      <c r="Z18" s="1" t="s">
        <v>131</v>
      </c>
      <c r="AA18" s="1" t="s">
        <v>200</v>
      </c>
      <c r="AB18" s="88" t="n">
        <v>2300</v>
      </c>
      <c r="AC18" s="88" t="n">
        <v>2300</v>
      </c>
      <c r="AD18" s="16" t="n">
        <f aca="false">IFERROR(AB18/B18,"")</f>
        <v>3.46907993966818</v>
      </c>
      <c r="AE18" s="16" t="n">
        <f aca="false">IFERROR(AC18/B18,"")</f>
        <v>3.46907993966818</v>
      </c>
      <c r="AF18" s="1" t="s">
        <v>201</v>
      </c>
      <c r="AG18" s="1" t="s">
        <v>201</v>
      </c>
      <c r="AH18" s="1" t="s">
        <v>201</v>
      </c>
      <c r="AI18" s="1" t="s">
        <v>300</v>
      </c>
      <c r="AJ18" s="1" t="s">
        <v>301</v>
      </c>
      <c r="AK18" s="1" t="s">
        <v>302</v>
      </c>
      <c r="AL18" s="1" t="s">
        <v>205</v>
      </c>
      <c r="AM18" s="1" t="s">
        <v>108</v>
      </c>
      <c r="AN18" s="12" t="n">
        <f aca="false">IFERROR(E18*(1+IF(AM18="Apartment",Data_Summary!$C$3,0)),"")</f>
        <v>3.46907993966818</v>
      </c>
    </row>
    <row r="19" customFormat="false" ht="15" hidden="false" customHeight="true" outlineLevel="0" collapsed="false">
      <c r="A19" s="9" t="n">
        <f aca="false">IF(AND(ISNUMBER(B19),B19&gt;0,ISNUMBER(AB19),AB19&gt;0,J19&gt;=Data_Summary!$C$1),1,0)</f>
        <v>1</v>
      </c>
      <c r="B19" s="84" t="n">
        <v>588</v>
      </c>
      <c r="C19" s="14" t="n">
        <f aca="false">IF(ISNUMBER(AB19),AB19,"")</f>
        <v>2000</v>
      </c>
      <c r="D19" s="85" t="n">
        <f aca="false">IF(ISNUMBER(C19),C19-U19*Data_Summary!$C$2,"")</f>
        <v>2000</v>
      </c>
      <c r="E19" s="86" t="n">
        <f aca="false">IFERROR(C19/B19,"")</f>
        <v>3.40136054421769</v>
      </c>
      <c r="F19" s="16" t="n">
        <f aca="false">IFERROR(D19/B19,"")</f>
        <v>3.40136054421769</v>
      </c>
      <c r="G19" s="13" t="str">
        <f aca="false">Q19</f>
        <v>1+1</v>
      </c>
      <c r="H19" s="13" t="str">
        <f aca="false">IFERROR(LEFT(G19,1),"")</f>
        <v>1</v>
      </c>
      <c r="I19" s="13" t="n">
        <f aca="false">IF(LEN(G19)&gt;1,1,0)</f>
        <v>1</v>
      </c>
      <c r="J19" s="87" t="n">
        <v>45887</v>
      </c>
      <c r="K19" s="1" t="s">
        <v>10</v>
      </c>
      <c r="L19" s="1" t="s">
        <v>105</v>
      </c>
      <c r="M19" s="1" t="s">
        <v>191</v>
      </c>
      <c r="N19" s="1" t="s">
        <v>107</v>
      </c>
      <c r="O19" s="1" t="s">
        <v>303</v>
      </c>
      <c r="P19" s="1" t="s">
        <v>304</v>
      </c>
      <c r="Q19" s="1" t="s">
        <v>208</v>
      </c>
      <c r="R19" s="31" t="n">
        <v>1</v>
      </c>
      <c r="S19" s="88" t="n">
        <v>588</v>
      </c>
      <c r="T19" s="1" t="s">
        <v>242</v>
      </c>
      <c r="U19" s="31" t="n">
        <v>0</v>
      </c>
      <c r="V19" s="1" t="s">
        <v>201</v>
      </c>
      <c r="W19" s="1" t="s">
        <v>217</v>
      </c>
      <c r="X19" s="1" t="s">
        <v>198</v>
      </c>
      <c r="Y19" s="1" t="s">
        <v>250</v>
      </c>
      <c r="Z19" s="1" t="s">
        <v>131</v>
      </c>
      <c r="AA19" s="1" t="s">
        <v>200</v>
      </c>
      <c r="AB19" s="88" t="n">
        <v>2000</v>
      </c>
      <c r="AC19" s="88" t="n">
        <v>2000</v>
      </c>
      <c r="AD19" s="16" t="n">
        <f aca="false">IFERROR(AB19/B19,"")</f>
        <v>3.40136054421769</v>
      </c>
      <c r="AE19" s="16" t="n">
        <f aca="false">IFERROR(AC19/B19,"")</f>
        <v>3.40136054421769</v>
      </c>
      <c r="AF19" s="1" t="s">
        <v>201</v>
      </c>
      <c r="AG19" s="1" t="s">
        <v>201</v>
      </c>
      <c r="AH19" s="1" t="s">
        <v>201</v>
      </c>
      <c r="AI19" s="1" t="s">
        <v>305</v>
      </c>
      <c r="AJ19" s="1" t="s">
        <v>306</v>
      </c>
      <c r="AK19" s="1" t="s">
        <v>307</v>
      </c>
      <c r="AL19" s="1" t="s">
        <v>205</v>
      </c>
      <c r="AM19" s="1" t="s">
        <v>108</v>
      </c>
      <c r="AN19" s="12" t="n">
        <f aca="false">IFERROR(E19*(1+IF(AM19="Apartment",Data_Summary!$C$3,0)),"")</f>
        <v>3.40136054421769</v>
      </c>
    </row>
    <row r="20" customFormat="false" ht="15" hidden="false" customHeight="true" outlineLevel="0" collapsed="false">
      <c r="A20" s="9" t="n">
        <f aca="false">IF(AND(ISNUMBER(B20),B20&gt;0,ISNUMBER(AB20),AB20&gt;0,J20&gt;=Data_Summary!$C$1),1,0)</f>
        <v>1</v>
      </c>
      <c r="B20" s="84" t="n">
        <v>988</v>
      </c>
      <c r="C20" s="14" t="n">
        <f aca="false">IF(ISNUMBER(AB20),AB20,"")</f>
        <v>3200</v>
      </c>
      <c r="D20" s="85" t="n">
        <f aca="false">IF(ISNUMBER(C20),C20-U20*Data_Summary!$C$2,"")</f>
        <v>3067.66543061721</v>
      </c>
      <c r="E20" s="86" t="n">
        <f aca="false">IFERROR(C20/B20,"")</f>
        <v>3.23886639676113</v>
      </c>
      <c r="F20" s="16" t="n">
        <f aca="false">IFERROR(D20/B20,"")</f>
        <v>3.1049245249162</v>
      </c>
      <c r="G20" s="13" t="str">
        <f aca="false">Q20</f>
        <v>3</v>
      </c>
      <c r="H20" s="13" t="str">
        <f aca="false">IFERROR(LEFT(G20,1),"")</f>
        <v>3</v>
      </c>
      <c r="I20" s="13" t="n">
        <f aca="false">IF(LEN(G20)&gt;1,1,0)</f>
        <v>0</v>
      </c>
      <c r="J20" s="87" t="n">
        <v>45862</v>
      </c>
      <c r="K20" s="1" t="s">
        <v>10</v>
      </c>
      <c r="L20" s="1" t="s">
        <v>105</v>
      </c>
      <c r="M20" s="1" t="s">
        <v>191</v>
      </c>
      <c r="N20" s="1" t="s">
        <v>107</v>
      </c>
      <c r="O20" s="1" t="s">
        <v>308</v>
      </c>
      <c r="P20" s="1" t="s">
        <v>309</v>
      </c>
      <c r="Q20" s="1" t="s">
        <v>248</v>
      </c>
      <c r="R20" s="31" t="n">
        <v>2</v>
      </c>
      <c r="S20" s="88" t="n">
        <v>988</v>
      </c>
      <c r="T20" s="1" t="s">
        <v>249</v>
      </c>
      <c r="U20" s="31" t="n">
        <v>1</v>
      </c>
      <c r="V20" s="1" t="s">
        <v>196</v>
      </c>
      <c r="W20" s="1" t="s">
        <v>217</v>
      </c>
      <c r="X20" s="1" t="s">
        <v>198</v>
      </c>
      <c r="Y20" s="1" t="s">
        <v>250</v>
      </c>
      <c r="Z20" s="1" t="s">
        <v>131</v>
      </c>
      <c r="AA20" s="1" t="s">
        <v>200</v>
      </c>
      <c r="AB20" s="88" t="n">
        <v>3200</v>
      </c>
      <c r="AC20" s="88" t="n">
        <v>3200</v>
      </c>
      <c r="AD20" s="16" t="n">
        <f aca="false">IFERROR(AB20/B20,"")</f>
        <v>3.23886639676113</v>
      </c>
      <c r="AE20" s="16" t="n">
        <f aca="false">IFERROR(AC20/B20,"")</f>
        <v>3.23886639676113</v>
      </c>
      <c r="AF20" s="1" t="s">
        <v>201</v>
      </c>
      <c r="AG20" s="1" t="s">
        <v>201</v>
      </c>
      <c r="AH20" s="1" t="s">
        <v>201</v>
      </c>
      <c r="AI20" s="1" t="s">
        <v>310</v>
      </c>
      <c r="AJ20" s="1" t="s">
        <v>311</v>
      </c>
      <c r="AK20" s="1" t="s">
        <v>312</v>
      </c>
      <c r="AL20" s="1" t="s">
        <v>205</v>
      </c>
      <c r="AM20" s="1" t="s">
        <v>108</v>
      </c>
      <c r="AN20" s="12" t="n">
        <f aca="false">IFERROR(E20*(1+IF(AM20="Apartment",Data_Summary!$C$3,0)),"")</f>
        <v>3.23886639676113</v>
      </c>
    </row>
    <row r="21" customFormat="false" ht="15" hidden="false" customHeight="true" outlineLevel="0" collapsed="false">
      <c r="A21" s="9" t="n">
        <f aca="false">IF(AND(ISNUMBER(B21),B21&gt;0,ISNUMBER(AB21),AB21&gt;0,J21&gt;=Data_Summary!$C$1),1,0)</f>
        <v>1</v>
      </c>
      <c r="B21" s="84" t="n">
        <v>797</v>
      </c>
      <c r="C21" s="14" t="n">
        <f aca="false">IF(ISNUMBER(AB21),AB21,"")</f>
        <v>2500</v>
      </c>
      <c r="D21" s="85" t="n">
        <f aca="false">IF(ISNUMBER(C21),C21-U21*Data_Summary!$C$2,"")</f>
        <v>2367.66543061721</v>
      </c>
      <c r="E21" s="86" t="n">
        <f aca="false">IFERROR(C21/B21,"")</f>
        <v>3.13676286072773</v>
      </c>
      <c r="F21" s="16" t="n">
        <f aca="false">IFERROR(D21/B21,"")</f>
        <v>2.97072199575559</v>
      </c>
      <c r="G21" s="13" t="str">
        <f aca="false">Q21</f>
        <v>2</v>
      </c>
      <c r="H21" s="13" t="str">
        <f aca="false">IFERROR(LEFT(G21,1),"")</f>
        <v>2</v>
      </c>
      <c r="I21" s="13" t="n">
        <f aca="false">IF(LEN(G21)&gt;1,1,0)</f>
        <v>0</v>
      </c>
      <c r="J21" s="87" t="n">
        <v>45841</v>
      </c>
      <c r="K21" s="1" t="s">
        <v>10</v>
      </c>
      <c r="L21" s="1" t="s">
        <v>105</v>
      </c>
      <c r="M21" s="1" t="s">
        <v>191</v>
      </c>
      <c r="N21" s="1" t="s">
        <v>107</v>
      </c>
      <c r="O21" s="1" t="s">
        <v>313</v>
      </c>
      <c r="P21" s="1" t="s">
        <v>314</v>
      </c>
      <c r="Q21" s="1" t="s">
        <v>194</v>
      </c>
      <c r="R21" s="31" t="n">
        <v>2</v>
      </c>
      <c r="S21" s="88" t="n">
        <v>797</v>
      </c>
      <c r="T21" s="1" t="s">
        <v>216</v>
      </c>
      <c r="U21" s="31" t="n">
        <v>1</v>
      </c>
      <c r="V21" s="1" t="s">
        <v>196</v>
      </c>
      <c r="W21" s="1" t="s">
        <v>217</v>
      </c>
      <c r="X21" s="1" t="s">
        <v>198</v>
      </c>
      <c r="Y21" s="1" t="s">
        <v>218</v>
      </c>
      <c r="Z21" s="1" t="s">
        <v>131</v>
      </c>
      <c r="AA21" s="1" t="s">
        <v>200</v>
      </c>
      <c r="AB21" s="88" t="n">
        <v>2500</v>
      </c>
      <c r="AC21" s="88" t="n">
        <v>2500</v>
      </c>
      <c r="AD21" s="16" t="n">
        <f aca="false">IFERROR(AB21/B21,"")</f>
        <v>3.13676286072773</v>
      </c>
      <c r="AE21" s="16" t="n">
        <f aca="false">IFERROR(AC21/B21,"")</f>
        <v>3.13676286072773</v>
      </c>
      <c r="AF21" s="1" t="s">
        <v>201</v>
      </c>
      <c r="AG21" s="1" t="s">
        <v>201</v>
      </c>
      <c r="AH21" s="1" t="s">
        <v>201</v>
      </c>
      <c r="AI21" s="1" t="s">
        <v>315</v>
      </c>
      <c r="AJ21" s="1" t="s">
        <v>316</v>
      </c>
      <c r="AK21" s="1" t="s">
        <v>317</v>
      </c>
      <c r="AL21" s="1" t="s">
        <v>205</v>
      </c>
      <c r="AM21" s="1" t="s">
        <v>108</v>
      </c>
      <c r="AN21" s="12" t="n">
        <f aca="false">IFERROR(E21*(1+IF(AM21="Apartment",Data_Summary!$C$3,0)),"")</f>
        <v>3.13676286072773</v>
      </c>
    </row>
    <row r="22" customFormat="false" ht="15" hidden="false" customHeight="true" outlineLevel="0" collapsed="false">
      <c r="A22" s="9" t="n">
        <f aca="false">IF(AND(ISNUMBER(B22),B22&gt;0,ISNUMBER(AB22),AB22&gt;0,J22&gt;=Data_Summary!$C$1),1,0)</f>
        <v>1</v>
      </c>
      <c r="B22" s="84" t="n">
        <v>816</v>
      </c>
      <c r="C22" s="14" t="n">
        <f aca="false">IF(ISNUMBER(AB22),AB22,"")</f>
        <v>2400</v>
      </c>
      <c r="D22" s="85" t="n">
        <f aca="false">IF(ISNUMBER(C22),C22-U22*Data_Summary!$C$2,"")</f>
        <v>2400</v>
      </c>
      <c r="E22" s="86" t="n">
        <f aca="false">IFERROR(C22/B22,"")</f>
        <v>2.94117647058824</v>
      </c>
      <c r="F22" s="16" t="n">
        <f aca="false">IFERROR(D22/B22,"")</f>
        <v>2.94117647058824</v>
      </c>
      <c r="G22" s="13" t="str">
        <f aca="false">Q22</f>
        <v>2</v>
      </c>
      <c r="H22" s="13" t="str">
        <f aca="false">IFERROR(LEFT(G22,1),"")</f>
        <v>2</v>
      </c>
      <c r="I22" s="13" t="n">
        <f aca="false">IF(LEN(G22)&gt;1,1,0)</f>
        <v>0</v>
      </c>
      <c r="J22" s="87" t="n">
        <v>45834</v>
      </c>
      <c r="K22" s="1" t="s">
        <v>10</v>
      </c>
      <c r="L22" s="1" t="s">
        <v>105</v>
      </c>
      <c r="M22" s="1" t="s">
        <v>191</v>
      </c>
      <c r="N22" s="1" t="s">
        <v>107</v>
      </c>
      <c r="O22" s="1" t="s">
        <v>318</v>
      </c>
      <c r="P22" s="1" t="s">
        <v>319</v>
      </c>
      <c r="Q22" s="1" t="s">
        <v>194</v>
      </c>
      <c r="R22" s="31" t="n">
        <v>2</v>
      </c>
      <c r="S22" s="88" t="n">
        <v>816</v>
      </c>
      <c r="T22" s="1" t="s">
        <v>236</v>
      </c>
      <c r="U22" s="31" t="n">
        <v>0</v>
      </c>
      <c r="V22" s="1" t="s">
        <v>201</v>
      </c>
      <c r="W22" s="1" t="s">
        <v>209</v>
      </c>
      <c r="X22" s="1" t="s">
        <v>198</v>
      </c>
      <c r="Y22" s="1" t="s">
        <v>225</v>
      </c>
      <c r="Z22" s="1" t="s">
        <v>131</v>
      </c>
      <c r="AA22" s="1" t="s">
        <v>200</v>
      </c>
      <c r="AB22" s="88" t="n">
        <v>2400</v>
      </c>
      <c r="AC22" s="88" t="n">
        <v>2400</v>
      </c>
      <c r="AD22" s="16" t="n">
        <f aca="false">IFERROR(AB22/B22,"")</f>
        <v>2.94117647058824</v>
      </c>
      <c r="AE22" s="16" t="n">
        <f aca="false">IFERROR(AC22/B22,"")</f>
        <v>2.94117647058824</v>
      </c>
      <c r="AF22" s="1" t="s">
        <v>201</v>
      </c>
      <c r="AG22" s="1" t="s">
        <v>201</v>
      </c>
      <c r="AH22" s="1" t="s">
        <v>201</v>
      </c>
      <c r="AI22" s="1" t="s">
        <v>320</v>
      </c>
      <c r="AJ22" s="1" t="s">
        <v>321</v>
      </c>
      <c r="AK22" s="1" t="s">
        <v>322</v>
      </c>
      <c r="AL22" s="1" t="s">
        <v>205</v>
      </c>
      <c r="AM22" s="1" t="s">
        <v>108</v>
      </c>
      <c r="AN22" s="12" t="n">
        <f aca="false">IFERROR(E22*(1+IF(AM22="Apartment",Data_Summary!$C$3,0)),"")</f>
        <v>2.94117647058824</v>
      </c>
    </row>
    <row r="23" customFormat="false" ht="15" hidden="false" customHeight="true" outlineLevel="0" collapsed="false">
      <c r="A23" s="9" t="n">
        <f aca="false">IF(AND(ISNUMBER(B23),B23&gt;0,ISNUMBER(AB23),AB23&gt;0,J23&gt;=Data_Summary!$C$1),1,0)</f>
        <v>1</v>
      </c>
      <c r="B23" s="84" t="n">
        <v>617</v>
      </c>
      <c r="C23" s="14" t="n">
        <f aca="false">IF(ISNUMBER(AB23),AB23,"")</f>
        <v>2100</v>
      </c>
      <c r="D23" s="85" t="n">
        <f aca="false">IF(ISNUMBER(C23),C23-U23*Data_Summary!$C$2,"")</f>
        <v>1967.66543061721</v>
      </c>
      <c r="E23" s="86" t="n">
        <f aca="false">IFERROR(C23/B23,"")</f>
        <v>3.40356564019449</v>
      </c>
      <c r="F23" s="16" t="n">
        <f aca="false">IFERROR(D23/B23,"")</f>
        <v>3.18908497668915</v>
      </c>
      <c r="G23" s="13" t="str">
        <f aca="false">Q23</f>
        <v>1</v>
      </c>
      <c r="H23" s="13" t="str">
        <f aca="false">IFERROR(LEFT(G23,1),"")</f>
        <v>1</v>
      </c>
      <c r="I23" s="13" t="n">
        <f aca="false">IF(LEN(G23)&gt;1,1,0)</f>
        <v>0</v>
      </c>
      <c r="J23" s="87" t="n">
        <v>45791</v>
      </c>
      <c r="K23" s="1" t="s">
        <v>10</v>
      </c>
      <c r="L23" s="1" t="s">
        <v>105</v>
      </c>
      <c r="M23" s="1" t="s">
        <v>191</v>
      </c>
      <c r="N23" s="1" t="s">
        <v>107</v>
      </c>
      <c r="O23" s="1" t="s">
        <v>222</v>
      </c>
      <c r="P23" s="1" t="s">
        <v>223</v>
      </c>
      <c r="Q23" s="1" t="s">
        <v>224</v>
      </c>
      <c r="R23" s="31" t="n">
        <v>1</v>
      </c>
      <c r="S23" s="88" t="n">
        <v>617</v>
      </c>
      <c r="T23" s="1" t="s">
        <v>195</v>
      </c>
      <c r="U23" s="31" t="n">
        <v>1</v>
      </c>
      <c r="V23" s="1" t="s">
        <v>196</v>
      </c>
      <c r="W23" s="1" t="s">
        <v>217</v>
      </c>
      <c r="X23" s="1" t="s">
        <v>198</v>
      </c>
      <c r="Y23" s="1" t="s">
        <v>225</v>
      </c>
      <c r="Z23" s="1" t="s">
        <v>131</v>
      </c>
      <c r="AA23" s="1" t="s">
        <v>200</v>
      </c>
      <c r="AB23" s="88" t="n">
        <v>2100</v>
      </c>
      <c r="AC23" s="88" t="n">
        <v>2100</v>
      </c>
      <c r="AD23" s="16" t="n">
        <f aca="false">IFERROR(AB23/B23,"")</f>
        <v>3.40356564019449</v>
      </c>
      <c r="AE23" s="16" t="n">
        <f aca="false">IFERROR(AC23/B23,"")</f>
        <v>3.40356564019449</v>
      </c>
      <c r="AF23" s="1" t="s">
        <v>201</v>
      </c>
      <c r="AG23" s="1" t="s">
        <v>201</v>
      </c>
      <c r="AH23" s="1" t="s">
        <v>201</v>
      </c>
      <c r="AI23" s="1" t="s">
        <v>323</v>
      </c>
      <c r="AJ23" s="1" t="s">
        <v>324</v>
      </c>
      <c r="AK23" s="1" t="s">
        <v>325</v>
      </c>
      <c r="AL23" s="1" t="s">
        <v>205</v>
      </c>
      <c r="AM23" s="1" t="s">
        <v>108</v>
      </c>
      <c r="AN23" s="12" t="n">
        <f aca="false">IFERROR(E23*(1+IF(AM23="Apartment",Data_Summary!$C$3,0)),"")</f>
        <v>3.40356564019449</v>
      </c>
    </row>
    <row r="24" customFormat="false" ht="15" hidden="false" customHeight="true" outlineLevel="0" collapsed="false">
      <c r="A24" s="9" t="n">
        <f aca="false">IF(AND(ISNUMBER(B24),B24&gt;0,ISNUMBER(AB24),AB24&gt;0,J24&gt;=Data_Summary!$C$1),1,0)</f>
        <v>0</v>
      </c>
      <c r="B24" s="96" t="n">
        <v>751</v>
      </c>
      <c r="C24" s="14" t="n">
        <f aca="false">IF(ISNUMBER(AB24),AB24,"")</f>
        <v>2500</v>
      </c>
      <c r="D24" s="85" t="n">
        <f aca="false">IF(ISNUMBER(C24),C24-U24*Data_Summary!$C$2,"")</f>
        <v>2367.66543061721</v>
      </c>
      <c r="E24" s="97" t="n">
        <f aca="false">IFERROR(C24/B24,"")</f>
        <v>3.3288948069241</v>
      </c>
      <c r="F24" s="16" t="n">
        <f aca="false">IFERROR(D24/B24,"")</f>
        <v>3.15268366260614</v>
      </c>
      <c r="G24" s="13" t="str">
        <f aca="false">Q24</f>
        <v>2</v>
      </c>
      <c r="H24" s="13" t="str">
        <f aca="false">IFERROR(LEFT(G24,1),"")</f>
        <v>2</v>
      </c>
      <c r="I24" s="13" t="n">
        <f aca="false">IF(LEN(G24)&gt;1,1,0)</f>
        <v>0</v>
      </c>
      <c r="J24" s="87" t="n">
        <v>45770</v>
      </c>
      <c r="K24" s="1" t="s">
        <v>10</v>
      </c>
      <c r="L24" s="1" t="s">
        <v>105</v>
      </c>
      <c r="M24" s="1" t="s">
        <v>191</v>
      </c>
      <c r="N24" s="1" t="s">
        <v>107</v>
      </c>
      <c r="O24" s="1" t="s">
        <v>326</v>
      </c>
      <c r="P24" s="1" t="s">
        <v>327</v>
      </c>
      <c r="Q24" s="1" t="s">
        <v>194</v>
      </c>
      <c r="R24" s="31" t="n">
        <v>2</v>
      </c>
      <c r="S24" s="88" t="n">
        <v>751</v>
      </c>
      <c r="T24" s="1" t="s">
        <v>216</v>
      </c>
      <c r="U24" s="31" t="n">
        <v>1</v>
      </c>
      <c r="V24" s="1" t="s">
        <v>196</v>
      </c>
      <c r="W24" s="1" t="s">
        <v>217</v>
      </c>
      <c r="X24" s="1" t="s">
        <v>198</v>
      </c>
      <c r="Y24" s="1" t="s">
        <v>218</v>
      </c>
      <c r="Z24" s="1" t="s">
        <v>131</v>
      </c>
      <c r="AA24" s="1" t="s">
        <v>200</v>
      </c>
      <c r="AB24" s="88" t="n">
        <v>2500</v>
      </c>
      <c r="AC24" s="88" t="n">
        <v>2500</v>
      </c>
      <c r="AD24" s="16" t="n">
        <f aca="false">IFERROR(AB24/B24,"")</f>
        <v>3.3288948069241</v>
      </c>
      <c r="AE24" s="16" t="n">
        <f aca="false">IFERROR(AC24/B24,"")</f>
        <v>3.3288948069241</v>
      </c>
      <c r="AF24" s="1" t="s">
        <v>201</v>
      </c>
      <c r="AG24" s="1" t="s">
        <v>201</v>
      </c>
      <c r="AH24" s="1" t="s">
        <v>201</v>
      </c>
      <c r="AI24" s="1" t="s">
        <v>328</v>
      </c>
      <c r="AJ24" s="1" t="s">
        <v>329</v>
      </c>
      <c r="AK24" s="1" t="s">
        <v>330</v>
      </c>
      <c r="AL24" s="1" t="s">
        <v>205</v>
      </c>
      <c r="AM24" s="1" t="s">
        <v>108</v>
      </c>
      <c r="AN24" s="12" t="n">
        <f aca="false">IFERROR(E24*(1+IF(AM24="Apartment",Data_Summary!$C$3,0)),"")</f>
        <v>3.3288948069241</v>
      </c>
    </row>
    <row r="25" customFormat="false" ht="15" hidden="false" customHeight="true" outlineLevel="0" collapsed="false">
      <c r="A25" s="9" t="n">
        <f aca="false">IF(AND(ISNUMBER(B25),B25&gt;0,ISNUMBER(AB25),AB25&gt;0,J25&gt;=Data_Summary!$C$1),1,0)</f>
        <v>0</v>
      </c>
      <c r="B25" s="96" t="n">
        <v>694</v>
      </c>
      <c r="C25" s="14" t="n">
        <f aca="false">IF(ISNUMBER(AB25),AB25,"")</f>
        <v>2400</v>
      </c>
      <c r="D25" s="85" t="n">
        <f aca="false">IF(ISNUMBER(C25),C25-U25*Data_Summary!$C$2,"")</f>
        <v>2267.66543061721</v>
      </c>
      <c r="E25" s="97" t="n">
        <f aca="false">IFERROR(C25/B25,"")</f>
        <v>3.45821325648415</v>
      </c>
      <c r="F25" s="16" t="n">
        <f aca="false">IFERROR(D25/B25,"")</f>
        <v>3.26752943892969</v>
      </c>
      <c r="G25" s="13" t="str">
        <f aca="false">Q25</f>
        <v>2</v>
      </c>
      <c r="H25" s="13" t="str">
        <f aca="false">IFERROR(LEFT(G25,1),"")</f>
        <v>2</v>
      </c>
      <c r="I25" s="13" t="n">
        <f aca="false">IF(LEN(G25)&gt;1,1,0)</f>
        <v>0</v>
      </c>
      <c r="J25" s="87" t="n">
        <v>45769</v>
      </c>
      <c r="K25" s="1" t="s">
        <v>10</v>
      </c>
      <c r="L25" s="1" t="s">
        <v>105</v>
      </c>
      <c r="M25" s="1" t="s">
        <v>191</v>
      </c>
      <c r="N25" s="1" t="s">
        <v>107</v>
      </c>
      <c r="O25" s="1" t="s">
        <v>331</v>
      </c>
      <c r="P25" s="1" t="s">
        <v>332</v>
      </c>
      <c r="Q25" s="1" t="s">
        <v>194</v>
      </c>
      <c r="R25" s="31" t="n">
        <v>2</v>
      </c>
      <c r="S25" s="88" t="n">
        <v>694</v>
      </c>
      <c r="T25" s="1" t="s">
        <v>195</v>
      </c>
      <c r="U25" s="31" t="n">
        <v>1</v>
      </c>
      <c r="V25" s="1" t="s">
        <v>196</v>
      </c>
      <c r="W25" s="1" t="s">
        <v>217</v>
      </c>
      <c r="X25" s="1" t="s">
        <v>198</v>
      </c>
      <c r="Y25" s="1" t="s">
        <v>218</v>
      </c>
      <c r="Z25" s="1" t="s">
        <v>131</v>
      </c>
      <c r="AA25" s="1" t="s">
        <v>200</v>
      </c>
      <c r="AB25" s="88" t="n">
        <v>2400</v>
      </c>
      <c r="AC25" s="88" t="n">
        <v>2500</v>
      </c>
      <c r="AD25" s="16" t="n">
        <f aca="false">IFERROR(AB25/B25,"")</f>
        <v>3.45821325648415</v>
      </c>
      <c r="AE25" s="16" t="n">
        <f aca="false">IFERROR(AC25/B25,"")</f>
        <v>3.60230547550432</v>
      </c>
      <c r="AF25" s="1" t="s">
        <v>201</v>
      </c>
      <c r="AG25" s="1" t="s">
        <v>201</v>
      </c>
      <c r="AH25" s="1" t="s">
        <v>201</v>
      </c>
      <c r="AI25" s="1" t="s">
        <v>333</v>
      </c>
      <c r="AJ25" s="1" t="s">
        <v>334</v>
      </c>
      <c r="AK25" s="1" t="s">
        <v>335</v>
      </c>
      <c r="AL25" s="1" t="s">
        <v>205</v>
      </c>
      <c r="AM25" s="1" t="s">
        <v>108</v>
      </c>
      <c r="AN25" s="12" t="n">
        <f aca="false">IFERROR(E25*(1+IF(AM25="Apartment",Data_Summary!$C$3,0)),"")</f>
        <v>3.45821325648415</v>
      </c>
    </row>
    <row r="26" customFormat="false" ht="15" hidden="false" customHeight="true" outlineLevel="0" collapsed="false">
      <c r="A26" s="9" t="n">
        <f aca="false">IF(AND(ISNUMBER(B26),B26&gt;0,ISNUMBER(AB26),AB26&gt;0,J26&gt;=Data_Summary!$C$1),1,0)</f>
        <v>0</v>
      </c>
      <c r="B26" s="96" t="n">
        <v>715</v>
      </c>
      <c r="C26" s="14" t="n">
        <f aca="false">IF(ISNUMBER(AB26),AB26,"")</f>
        <v>2600</v>
      </c>
      <c r="D26" s="85" t="n">
        <f aca="false">IF(ISNUMBER(C26),C26-U26*Data_Summary!$C$2,"")</f>
        <v>2600</v>
      </c>
      <c r="E26" s="97" t="n">
        <f aca="false">IFERROR(C26/B26,"")</f>
        <v>3.63636363636364</v>
      </c>
      <c r="F26" s="16" t="n">
        <f aca="false">IFERROR(D26/B26,"")</f>
        <v>3.63636363636364</v>
      </c>
      <c r="G26" s="13" t="str">
        <f aca="false">Q26</f>
        <v>2</v>
      </c>
      <c r="H26" s="13" t="str">
        <f aca="false">IFERROR(LEFT(G26,1),"")</f>
        <v>2</v>
      </c>
      <c r="I26" s="13" t="n">
        <f aca="false">IF(LEN(G26)&gt;1,1,0)</f>
        <v>0</v>
      </c>
      <c r="J26" s="87" t="n">
        <v>45763</v>
      </c>
      <c r="K26" s="1" t="s">
        <v>10</v>
      </c>
      <c r="L26" s="1" t="s">
        <v>105</v>
      </c>
      <c r="M26" s="1" t="s">
        <v>191</v>
      </c>
      <c r="N26" s="1" t="s">
        <v>107</v>
      </c>
      <c r="O26" s="1" t="s">
        <v>336</v>
      </c>
      <c r="P26" s="1" t="s">
        <v>337</v>
      </c>
      <c r="Q26" s="1" t="s">
        <v>194</v>
      </c>
      <c r="R26" s="31" t="n">
        <v>2</v>
      </c>
      <c r="S26" s="88" t="n">
        <v>715</v>
      </c>
      <c r="T26" s="1" t="s">
        <v>216</v>
      </c>
      <c r="U26" s="31" t="n">
        <v>0</v>
      </c>
      <c r="V26" s="1" t="s">
        <v>201</v>
      </c>
      <c r="W26" s="1" t="s">
        <v>209</v>
      </c>
      <c r="X26" s="1" t="s">
        <v>198</v>
      </c>
      <c r="Y26" s="1" t="s">
        <v>218</v>
      </c>
      <c r="Z26" s="1" t="s">
        <v>131</v>
      </c>
      <c r="AA26" s="1" t="s">
        <v>200</v>
      </c>
      <c r="AB26" s="88" t="n">
        <v>2600</v>
      </c>
      <c r="AC26" s="88" t="n">
        <v>2600</v>
      </c>
      <c r="AD26" s="16" t="n">
        <f aca="false">IFERROR(AB26/B26,"")</f>
        <v>3.63636363636364</v>
      </c>
      <c r="AE26" s="16" t="n">
        <f aca="false">IFERROR(AC26/B26,"")</f>
        <v>3.63636363636364</v>
      </c>
      <c r="AF26" s="1" t="s">
        <v>201</v>
      </c>
      <c r="AG26" s="1" t="s">
        <v>201</v>
      </c>
      <c r="AH26" s="1" t="s">
        <v>201</v>
      </c>
      <c r="AI26" s="1" t="s">
        <v>338</v>
      </c>
      <c r="AJ26" s="1" t="s">
        <v>339</v>
      </c>
      <c r="AK26" s="1" t="s">
        <v>340</v>
      </c>
      <c r="AL26" s="1" t="s">
        <v>205</v>
      </c>
      <c r="AM26" s="1" t="s">
        <v>108</v>
      </c>
      <c r="AN26" s="12" t="n">
        <f aca="false">IFERROR(E26*(1+IF(AM26="Apartment",Data_Summary!$C$3,0)),"")</f>
        <v>3.63636363636364</v>
      </c>
    </row>
    <row r="27" customFormat="false" ht="15" hidden="false" customHeight="true" outlineLevel="0" collapsed="false">
      <c r="A27" s="9" t="n">
        <f aca="false">IF(AND(ISNUMBER(B27),B27&gt;0,ISNUMBER(AB27),AB27&gt;0,J27&gt;=Data_Summary!$C$1),1,0)</f>
        <v>0</v>
      </c>
      <c r="B27" s="96" t="n">
        <v>694</v>
      </c>
      <c r="C27" s="14" t="n">
        <f aca="false">IF(ISNUMBER(AB27),AB27,"")</f>
        <v>2150</v>
      </c>
      <c r="D27" s="85" t="n">
        <f aca="false">IF(ISNUMBER(C27),C27-U27*Data_Summary!$C$2,"")</f>
        <v>2150</v>
      </c>
      <c r="E27" s="97" t="n">
        <f aca="false">IFERROR(C27/B27,"")</f>
        <v>3.09798270893372</v>
      </c>
      <c r="F27" s="16" t="n">
        <f aca="false">IFERROR(D27/B27,"")</f>
        <v>3.09798270893372</v>
      </c>
      <c r="G27" s="13" t="str">
        <f aca="false">Q27</f>
        <v>1+1</v>
      </c>
      <c r="H27" s="13" t="str">
        <f aca="false">IFERROR(LEFT(G27,1),"")</f>
        <v>1</v>
      </c>
      <c r="I27" s="13" t="n">
        <f aca="false">IF(LEN(G27)&gt;1,1,0)</f>
        <v>1</v>
      </c>
      <c r="J27" s="87" t="n">
        <v>45758</v>
      </c>
      <c r="K27" s="1" t="s">
        <v>10</v>
      </c>
      <c r="L27" s="1" t="s">
        <v>105</v>
      </c>
      <c r="M27" s="1" t="s">
        <v>191</v>
      </c>
      <c r="N27" s="1" t="s">
        <v>107</v>
      </c>
      <c r="O27" s="1" t="s">
        <v>341</v>
      </c>
      <c r="P27" s="1" t="s">
        <v>342</v>
      </c>
      <c r="Q27" s="1" t="s">
        <v>208</v>
      </c>
      <c r="R27" s="31" t="n">
        <v>1</v>
      </c>
      <c r="S27" s="88" t="n">
        <v>694</v>
      </c>
      <c r="T27" s="1" t="s">
        <v>195</v>
      </c>
      <c r="U27" s="31" t="n">
        <v>0</v>
      </c>
      <c r="V27" s="1" t="s">
        <v>201</v>
      </c>
      <c r="W27" s="1" t="s">
        <v>209</v>
      </c>
      <c r="X27" s="1" t="s">
        <v>198</v>
      </c>
      <c r="Y27" s="1" t="s">
        <v>250</v>
      </c>
      <c r="Z27" s="1" t="s">
        <v>131</v>
      </c>
      <c r="AA27" s="1" t="s">
        <v>200</v>
      </c>
      <c r="AB27" s="88" t="n">
        <v>2150</v>
      </c>
      <c r="AC27" s="88" t="n">
        <v>2150</v>
      </c>
      <c r="AD27" s="16" t="n">
        <f aca="false">IFERROR(AB27/B27,"")</f>
        <v>3.09798270893372</v>
      </c>
      <c r="AE27" s="16" t="n">
        <f aca="false">IFERROR(AC27/B27,"")</f>
        <v>3.09798270893372</v>
      </c>
      <c r="AF27" s="1" t="s">
        <v>201</v>
      </c>
      <c r="AG27" s="1" t="s">
        <v>201</v>
      </c>
      <c r="AH27" s="1" t="s">
        <v>201</v>
      </c>
      <c r="AI27" s="1" t="s">
        <v>343</v>
      </c>
      <c r="AJ27" s="1" t="s">
        <v>344</v>
      </c>
      <c r="AK27" s="1" t="s">
        <v>345</v>
      </c>
      <c r="AL27" s="1" t="s">
        <v>205</v>
      </c>
      <c r="AM27" s="1" t="s">
        <v>108</v>
      </c>
      <c r="AN27" s="12" t="n">
        <f aca="false">IFERROR(E27*(1+IF(AM27="Apartment",Data_Summary!$C$3,0)),"")</f>
        <v>3.09798270893372</v>
      </c>
    </row>
    <row r="28" customFormat="false" ht="15" hidden="false" customHeight="true" outlineLevel="0" collapsed="false">
      <c r="A28" s="9" t="n">
        <f aca="false">IF(AND(ISNUMBER(B28),B28&gt;0,ISNUMBER(AB28),AB28&gt;0,J28&gt;=Data_Summary!$C$1),1,0)</f>
        <v>0</v>
      </c>
      <c r="B28" s="96" t="n">
        <v>715</v>
      </c>
      <c r="C28" s="13" t="str">
        <f aca="false">IF(ISNUMBER(AB28),AB28,"")</f>
        <v/>
      </c>
      <c r="D28" s="9" t="str">
        <f aca="false">IF(ISNUMBER(C28),C28-U28*Data_Summary!$C$2,"")</f>
        <v/>
      </c>
      <c r="E28" s="97" t="str">
        <f aca="false">IFERROR(C28/B28,"")</f>
        <v/>
      </c>
      <c r="F28" s="16" t="str">
        <f aca="false">IFERROR(D28/B28,"")</f>
        <v/>
      </c>
      <c r="G28" s="13" t="str">
        <f aca="false">Q28</f>
        <v>2</v>
      </c>
      <c r="H28" s="13" t="str">
        <f aca="false">IFERROR(LEFT(G28,1),"")</f>
        <v>2</v>
      </c>
      <c r="I28" s="13" t="n">
        <f aca="false">IF(LEN(G28)&gt;1,1,0)</f>
        <v>0</v>
      </c>
      <c r="J28" s="87" t="n">
        <v>46162</v>
      </c>
      <c r="K28" s="1" t="s">
        <v>10</v>
      </c>
      <c r="L28" s="1" t="s">
        <v>105</v>
      </c>
      <c r="M28" s="1" t="s">
        <v>191</v>
      </c>
      <c r="N28" s="1" t="s">
        <v>107</v>
      </c>
      <c r="O28" s="1" t="s">
        <v>346</v>
      </c>
      <c r="P28" s="1" t="s">
        <v>347</v>
      </c>
      <c r="Q28" s="1" t="s">
        <v>194</v>
      </c>
      <c r="R28" s="31" t="n">
        <v>2</v>
      </c>
      <c r="S28" s="88" t="n">
        <v>715</v>
      </c>
      <c r="T28" s="1" t="s">
        <v>216</v>
      </c>
      <c r="U28" s="31" t="n">
        <v>1</v>
      </c>
      <c r="V28" s="1" t="s">
        <v>196</v>
      </c>
      <c r="W28" s="1" t="s">
        <v>209</v>
      </c>
      <c r="X28" s="1" t="s">
        <v>198</v>
      </c>
      <c r="Y28" s="1" t="s">
        <v>218</v>
      </c>
      <c r="Z28" s="1" t="s">
        <v>131</v>
      </c>
      <c r="AA28" s="1" t="s">
        <v>200</v>
      </c>
      <c r="AB28" s="98"/>
      <c r="AC28" s="88" t="n">
        <v>2400</v>
      </c>
      <c r="AD28" s="16" t="n">
        <f aca="false">IFERROR(AB28/B28,"")</f>
        <v>0</v>
      </c>
      <c r="AE28" s="16" t="n">
        <f aca="false">IFERROR(AC28/B28,"")</f>
        <v>3.35664335664336</v>
      </c>
      <c r="AF28" s="1" t="s">
        <v>201</v>
      </c>
      <c r="AG28" s="1" t="s">
        <v>201</v>
      </c>
      <c r="AH28" s="1" t="s">
        <v>201</v>
      </c>
      <c r="AI28" s="1" t="s">
        <v>348</v>
      </c>
      <c r="AJ28" s="1" t="s">
        <v>349</v>
      </c>
      <c r="AK28" s="1" t="s">
        <v>350</v>
      </c>
      <c r="AL28" s="1" t="s">
        <v>351</v>
      </c>
      <c r="AM28" s="1" t="s">
        <v>108</v>
      </c>
      <c r="AN28" s="12" t="str">
        <f aca="false">IFERROR(E28*(1+IF(AM28="Apartment",Data_Summary!$C$3,0)),"")</f>
        <v/>
      </c>
    </row>
    <row r="29" customFormat="false" ht="15" hidden="false" customHeight="true" outlineLevel="0" collapsed="false">
      <c r="A29" s="9" t="n">
        <f aca="false">IF(AND(ISNUMBER(B29),B29&gt;0,ISNUMBER(AB29),AB29&gt;0,J29&gt;=Data_Summary!$C$1),1,0)</f>
        <v>0</v>
      </c>
      <c r="B29" s="96" t="n">
        <v>715</v>
      </c>
      <c r="C29" s="13" t="str">
        <f aca="false">IF(ISNUMBER(AB29),AB29,"")</f>
        <v/>
      </c>
      <c r="D29" s="9" t="str">
        <f aca="false">IF(ISNUMBER(C29),C29-U29*Data_Summary!$C$2,"")</f>
        <v/>
      </c>
      <c r="E29" s="97" t="str">
        <f aca="false">IFERROR(C29/B29,"")</f>
        <v/>
      </c>
      <c r="F29" s="16" t="str">
        <f aca="false">IFERROR(D29/B29,"")</f>
        <v/>
      </c>
      <c r="G29" s="13" t="str">
        <f aca="false">Q29</f>
        <v>2</v>
      </c>
      <c r="H29" s="13" t="str">
        <f aca="false">IFERROR(LEFT(G29,1),"")</f>
        <v>2</v>
      </c>
      <c r="I29" s="13" t="n">
        <f aca="false">IF(LEN(G29)&gt;1,1,0)</f>
        <v>0</v>
      </c>
      <c r="J29" s="87" t="n">
        <v>46164</v>
      </c>
      <c r="K29" s="1" t="s">
        <v>10</v>
      </c>
      <c r="L29" s="1" t="s">
        <v>105</v>
      </c>
      <c r="M29" s="1" t="s">
        <v>191</v>
      </c>
      <c r="N29" s="1" t="s">
        <v>107</v>
      </c>
      <c r="O29" s="1" t="s">
        <v>336</v>
      </c>
      <c r="P29" s="1" t="s">
        <v>337</v>
      </c>
      <c r="Q29" s="1" t="s">
        <v>194</v>
      </c>
      <c r="R29" s="31" t="n">
        <v>2</v>
      </c>
      <c r="S29" s="88" t="n">
        <v>715</v>
      </c>
      <c r="T29" s="1" t="s">
        <v>216</v>
      </c>
      <c r="U29" s="31" t="n">
        <v>0</v>
      </c>
      <c r="V29" s="1" t="s">
        <v>201</v>
      </c>
      <c r="W29" s="1" t="s">
        <v>209</v>
      </c>
      <c r="X29" s="1" t="s">
        <v>198</v>
      </c>
      <c r="Y29" s="1" t="s">
        <v>218</v>
      </c>
      <c r="Z29" s="1" t="s">
        <v>131</v>
      </c>
      <c r="AA29" s="1" t="s">
        <v>200</v>
      </c>
      <c r="AB29" s="98"/>
      <c r="AC29" s="88" t="n">
        <v>2500</v>
      </c>
      <c r="AD29" s="16" t="n">
        <f aca="false">IFERROR(AB29/B29,"")</f>
        <v>0</v>
      </c>
      <c r="AE29" s="16" t="n">
        <f aca="false">IFERROR(AC29/B29,"")</f>
        <v>3.4965034965035</v>
      </c>
      <c r="AF29" s="1" t="s">
        <v>352</v>
      </c>
      <c r="AG29" s="1" t="s">
        <v>201</v>
      </c>
      <c r="AH29" s="1" t="s">
        <v>201</v>
      </c>
      <c r="AI29" s="1" t="s">
        <v>353</v>
      </c>
      <c r="AJ29" s="1" t="s">
        <v>354</v>
      </c>
      <c r="AK29" s="1" t="s">
        <v>355</v>
      </c>
      <c r="AL29" s="1" t="s">
        <v>351</v>
      </c>
      <c r="AM29" s="1" t="s">
        <v>108</v>
      </c>
      <c r="AN29" s="12" t="str">
        <f aca="false">IFERROR(E29*(1+IF(AM29="Apartment",Data_Summary!$C$3,0)),"")</f>
        <v/>
      </c>
    </row>
    <row r="30" customFormat="false" ht="15" hidden="false" customHeight="true" outlineLevel="0" collapsed="false">
      <c r="A30" s="9" t="n">
        <f aca="false">IF(AND(ISNUMBER(B30),B30&gt;0,ISNUMBER(AB30),AB30&gt;0,J30&gt;=Data_Summary!$C$1),1,0)</f>
        <v>0</v>
      </c>
      <c r="B30" s="96" t="n">
        <v>715</v>
      </c>
      <c r="C30" s="13" t="str">
        <f aca="false">IF(ISNUMBER(AB30),AB30,"")</f>
        <v/>
      </c>
      <c r="D30" s="9" t="str">
        <f aca="false">IF(ISNUMBER(C30),C30-U30*Data_Summary!$C$2,"")</f>
        <v/>
      </c>
      <c r="E30" s="97" t="str">
        <f aca="false">IFERROR(C30/B30,"")</f>
        <v/>
      </c>
      <c r="F30" s="16" t="str">
        <f aca="false">IFERROR(D30/B30,"")</f>
        <v/>
      </c>
      <c r="G30" s="13" t="str">
        <f aca="false">Q30</f>
        <v>2</v>
      </c>
      <c r="H30" s="13" t="str">
        <f aca="false">IFERROR(LEFT(G30,1),"")</f>
        <v>2</v>
      </c>
      <c r="I30" s="13" t="n">
        <f aca="false">IF(LEN(G30)&gt;1,1,0)</f>
        <v>0</v>
      </c>
      <c r="J30" s="87" t="n">
        <v>46084</v>
      </c>
      <c r="K30" s="1" t="s">
        <v>10</v>
      </c>
      <c r="L30" s="1" t="s">
        <v>105</v>
      </c>
      <c r="M30" s="1" t="s">
        <v>191</v>
      </c>
      <c r="N30" s="1" t="s">
        <v>107</v>
      </c>
      <c r="O30" s="1" t="s">
        <v>356</v>
      </c>
      <c r="P30" s="1" t="s">
        <v>357</v>
      </c>
      <c r="Q30" s="1" t="s">
        <v>194</v>
      </c>
      <c r="R30" s="31" t="n">
        <v>2</v>
      </c>
      <c r="S30" s="88" t="n">
        <v>715</v>
      </c>
      <c r="T30" s="1" t="s">
        <v>195</v>
      </c>
      <c r="U30" s="31" t="n">
        <v>1</v>
      </c>
      <c r="V30" s="1" t="s">
        <v>196</v>
      </c>
      <c r="W30" s="1" t="s">
        <v>209</v>
      </c>
      <c r="X30" s="1" t="s">
        <v>198</v>
      </c>
      <c r="Y30" s="1" t="s">
        <v>358</v>
      </c>
      <c r="Z30" s="1" t="s">
        <v>131</v>
      </c>
      <c r="AA30" s="1" t="s">
        <v>200</v>
      </c>
      <c r="AB30" s="98"/>
      <c r="AC30" s="88" t="n">
        <v>2500</v>
      </c>
      <c r="AD30" s="16" t="n">
        <f aca="false">IFERROR(AB30/B30,"")</f>
        <v>0</v>
      </c>
      <c r="AE30" s="16" t="n">
        <f aca="false">IFERROR(AC30/B30,"")</f>
        <v>3.4965034965035</v>
      </c>
      <c r="AF30" s="1" t="s">
        <v>201</v>
      </c>
      <c r="AG30" s="1" t="s">
        <v>201</v>
      </c>
      <c r="AH30" s="1" t="s">
        <v>201</v>
      </c>
      <c r="AI30" s="1" t="s">
        <v>251</v>
      </c>
      <c r="AJ30" s="1" t="s">
        <v>359</v>
      </c>
      <c r="AK30" s="1" t="s">
        <v>360</v>
      </c>
      <c r="AL30" s="1" t="s">
        <v>361</v>
      </c>
      <c r="AM30" s="1" t="s">
        <v>108</v>
      </c>
      <c r="AN30" s="12" t="str">
        <f aca="false">IFERROR(E30*(1+IF(AM30="Apartment",Data_Summary!$C$3,0)),"")</f>
        <v/>
      </c>
    </row>
    <row r="31" customFormat="false" ht="15" hidden="false" customHeight="true" outlineLevel="0" collapsed="false">
      <c r="A31" s="9" t="n">
        <f aca="false">IF(AND(ISNUMBER(B31),B31&gt;0,ISNUMBER(AB31),AB31&gt;0,J31&gt;=Data_Summary!$C$1),1,0)</f>
        <v>0</v>
      </c>
      <c r="B31" s="96" t="n">
        <v>694</v>
      </c>
      <c r="C31" s="13" t="str">
        <f aca="false">IF(ISNUMBER(AB31),AB31,"")</f>
        <v/>
      </c>
      <c r="D31" s="9" t="str">
        <f aca="false">IF(ISNUMBER(C31),C31-U31*Data_Summary!$C$2,"")</f>
        <v/>
      </c>
      <c r="E31" s="97" t="str">
        <f aca="false">IFERROR(C31/B31,"")</f>
        <v/>
      </c>
      <c r="F31" s="16" t="str">
        <f aca="false">IFERROR(D31/B31,"")</f>
        <v/>
      </c>
      <c r="G31" s="13" t="str">
        <f aca="false">Q31</f>
        <v>2</v>
      </c>
      <c r="H31" s="13" t="str">
        <f aca="false">IFERROR(LEFT(G31,1),"")</f>
        <v>2</v>
      </c>
      <c r="I31" s="13" t="n">
        <f aca="false">IF(LEN(G31)&gt;1,1,0)</f>
        <v>0</v>
      </c>
      <c r="J31" s="87" t="n">
        <v>46178</v>
      </c>
      <c r="K31" s="1" t="s">
        <v>10</v>
      </c>
      <c r="L31" s="1" t="s">
        <v>105</v>
      </c>
      <c r="M31" s="1" t="s">
        <v>191</v>
      </c>
      <c r="N31" s="1" t="s">
        <v>107</v>
      </c>
      <c r="O31" s="1" t="s">
        <v>362</v>
      </c>
      <c r="P31" s="1" t="s">
        <v>363</v>
      </c>
      <c r="Q31" s="1" t="s">
        <v>194</v>
      </c>
      <c r="R31" s="31" t="n">
        <v>2</v>
      </c>
      <c r="S31" s="88" t="n">
        <v>694</v>
      </c>
      <c r="U31" s="31" t="n">
        <v>0</v>
      </c>
      <c r="V31" s="1" t="s">
        <v>201</v>
      </c>
      <c r="W31" s="1" t="s">
        <v>209</v>
      </c>
      <c r="X31" s="1" t="s">
        <v>198</v>
      </c>
      <c r="Z31" s="1" t="s">
        <v>131</v>
      </c>
      <c r="AA31" s="1" t="s">
        <v>200</v>
      </c>
      <c r="AB31" s="98"/>
      <c r="AC31" s="88" t="n">
        <v>2400</v>
      </c>
      <c r="AD31" s="16" t="n">
        <f aca="false">IFERROR(AB31/B31,"")</f>
        <v>0</v>
      </c>
      <c r="AE31" s="16" t="n">
        <f aca="false">IFERROR(AC31/B31,"")</f>
        <v>3.45821325648415</v>
      </c>
      <c r="AF31" s="1" t="s">
        <v>201</v>
      </c>
      <c r="AG31" s="1" t="s">
        <v>201</v>
      </c>
      <c r="AH31" s="1" t="s">
        <v>201</v>
      </c>
      <c r="AI31" s="1" t="s">
        <v>364</v>
      </c>
      <c r="AJ31" s="1" t="s">
        <v>365</v>
      </c>
      <c r="AK31" s="1" t="s">
        <v>366</v>
      </c>
      <c r="AL31" s="1" t="s">
        <v>367</v>
      </c>
      <c r="AM31" s="1" t="s">
        <v>108</v>
      </c>
      <c r="AN31" s="12" t="str">
        <f aca="false">IFERROR(E31*(1+IF(AM31="Apartment",Data_Summary!$C$3,0)),"")</f>
        <v/>
      </c>
    </row>
    <row r="32" customFormat="false" ht="15" hidden="false" customHeight="true" outlineLevel="0" collapsed="false">
      <c r="A32" s="9" t="n">
        <f aca="false">IF(AND(ISNUMBER(B32),B32&gt;0,ISNUMBER(AB32),AB32&gt;0,J32&gt;=Data_Summary!$C$1),1,0)</f>
        <v>0</v>
      </c>
      <c r="B32" s="96" t="n">
        <v>588</v>
      </c>
      <c r="C32" s="13" t="str">
        <f aca="false">IF(ISNUMBER(AB32),AB32,"")</f>
        <v/>
      </c>
      <c r="D32" s="9" t="str">
        <f aca="false">IF(ISNUMBER(C32),C32-U32*Data_Summary!$C$2,"")</f>
        <v/>
      </c>
      <c r="E32" s="97" t="str">
        <f aca="false">IFERROR(C32/B32,"")</f>
        <v/>
      </c>
      <c r="F32" s="16" t="str">
        <f aca="false">IFERROR(D32/B32,"")</f>
        <v/>
      </c>
      <c r="G32" s="13" t="str">
        <f aca="false">Q32</f>
        <v>1+1</v>
      </c>
      <c r="H32" s="13" t="str">
        <f aca="false">IFERROR(LEFT(G32,1),"")</f>
        <v>1</v>
      </c>
      <c r="I32" s="13" t="n">
        <f aca="false">IF(LEN(G32)&gt;1,1,0)</f>
        <v>1</v>
      </c>
      <c r="J32" s="87" t="n">
        <v>46184</v>
      </c>
      <c r="K32" s="1" t="s">
        <v>10</v>
      </c>
      <c r="L32" s="1" t="s">
        <v>105</v>
      </c>
      <c r="M32" s="1" t="s">
        <v>191</v>
      </c>
      <c r="N32" s="1" t="s">
        <v>107</v>
      </c>
      <c r="O32" s="1" t="s">
        <v>368</v>
      </c>
      <c r="P32" s="1" t="s">
        <v>369</v>
      </c>
      <c r="Q32" s="1" t="s">
        <v>208</v>
      </c>
      <c r="R32" s="31" t="n">
        <v>1</v>
      </c>
      <c r="S32" s="88" t="n">
        <v>588</v>
      </c>
      <c r="T32" s="1" t="s">
        <v>195</v>
      </c>
      <c r="U32" s="31" t="n">
        <v>0</v>
      </c>
      <c r="V32" s="1" t="s">
        <v>201</v>
      </c>
      <c r="W32" s="1" t="s">
        <v>209</v>
      </c>
      <c r="X32" s="1" t="s">
        <v>198</v>
      </c>
      <c r="Z32" s="1" t="s">
        <v>131</v>
      </c>
      <c r="AA32" s="1" t="s">
        <v>200</v>
      </c>
      <c r="AB32" s="98"/>
      <c r="AC32" s="88" t="n">
        <v>2200</v>
      </c>
      <c r="AD32" s="16" t="n">
        <f aca="false">IFERROR(AB32/B32,"")</f>
        <v>0</v>
      </c>
      <c r="AE32" s="16" t="n">
        <f aca="false">IFERROR(AC32/B32,"")</f>
        <v>3.74149659863946</v>
      </c>
      <c r="AF32" s="1" t="s">
        <v>201</v>
      </c>
      <c r="AG32" s="1" t="s">
        <v>201</v>
      </c>
      <c r="AH32" s="1" t="s">
        <v>201</v>
      </c>
      <c r="AI32" s="1" t="s">
        <v>370</v>
      </c>
      <c r="AJ32" s="1" t="s">
        <v>371</v>
      </c>
      <c r="AK32" s="1" t="s">
        <v>372</v>
      </c>
      <c r="AL32" s="1" t="s">
        <v>373</v>
      </c>
      <c r="AM32" s="1" t="s">
        <v>108</v>
      </c>
      <c r="AN32" s="12" t="str">
        <f aca="false">IFERROR(E32*(1+IF(AM32="Apartment",Data_Summary!$C$3,0)),"")</f>
        <v/>
      </c>
    </row>
    <row r="33" customFormat="false" ht="15" hidden="false" customHeight="true" outlineLevel="0" collapsed="false">
      <c r="A33" s="9" t="n">
        <f aca="false">IF(AND(ISNUMBER(B33),B33&gt;0,ISNUMBER(AB33),AB33&gt;0,J33&gt;=Data_Summary!$C$1),1,0)</f>
        <v>0</v>
      </c>
      <c r="B33" s="99"/>
      <c r="C33" s="14" t="n">
        <f aca="false">IF(ISNUMBER(AB33),AB33,"")</f>
        <v>1560</v>
      </c>
      <c r="D33" s="85" t="n">
        <f aca="false">IF(ISNUMBER(C33),C33-U33*Data_Summary!$C$2,"")</f>
        <v>1560</v>
      </c>
      <c r="E33" s="100" t="str">
        <f aca="false">IFERROR(C33/B33,"")</f>
        <v/>
      </c>
      <c r="F33" s="16" t="str">
        <f aca="false">IFERROR(D33/B33,"")</f>
        <v/>
      </c>
      <c r="G33" s="13" t="str">
        <f aca="false">Q33</f>
        <v>1</v>
      </c>
      <c r="H33" s="13" t="str">
        <f aca="false">IFERROR(LEFT(G33,1),"")</f>
        <v>1</v>
      </c>
      <c r="I33" s="13" t="n">
        <f aca="false">IF(LEN(G33)&gt;1,1,0)</f>
        <v>0</v>
      </c>
      <c r="J33" s="87" t="n">
        <v>46118</v>
      </c>
      <c r="K33" s="1" t="s">
        <v>10</v>
      </c>
      <c r="L33" s="1" t="s">
        <v>105</v>
      </c>
      <c r="M33" s="1" t="s">
        <v>191</v>
      </c>
      <c r="N33" s="1" t="s">
        <v>107</v>
      </c>
      <c r="O33" s="1" t="s">
        <v>374</v>
      </c>
      <c r="P33" s="1" t="s">
        <v>375</v>
      </c>
      <c r="Q33" s="1" t="s">
        <v>224</v>
      </c>
      <c r="R33" s="31" t="n">
        <v>1</v>
      </c>
      <c r="S33" s="98"/>
      <c r="T33" s="1" t="s">
        <v>216</v>
      </c>
      <c r="U33" s="31" t="n">
        <v>0</v>
      </c>
      <c r="V33" s="1" t="s">
        <v>201</v>
      </c>
      <c r="W33" s="1" t="s">
        <v>209</v>
      </c>
      <c r="X33" s="1" t="s">
        <v>198</v>
      </c>
      <c r="Z33" s="1" t="s">
        <v>131</v>
      </c>
      <c r="AA33" s="1" t="s">
        <v>200</v>
      </c>
      <c r="AB33" s="88" t="n">
        <v>1560</v>
      </c>
      <c r="AC33" s="88" t="n">
        <v>1480</v>
      </c>
      <c r="AD33" s="16" t="str">
        <f aca="false">IFERROR(AB33/B33,"")</f>
        <v/>
      </c>
      <c r="AE33" s="16" t="str">
        <f aca="false">IFERROR(AC33/B33,"")</f>
        <v/>
      </c>
      <c r="AF33" s="1" t="s">
        <v>201</v>
      </c>
      <c r="AG33" s="1" t="s">
        <v>201</v>
      </c>
      <c r="AH33" s="1" t="s">
        <v>201</v>
      </c>
      <c r="AI33" s="1" t="s">
        <v>376</v>
      </c>
      <c r="AJ33" s="1" t="s">
        <v>377</v>
      </c>
      <c r="AK33" s="1" t="s">
        <v>378</v>
      </c>
      <c r="AL33" s="1" t="s">
        <v>379</v>
      </c>
      <c r="AM33" s="1" t="s">
        <v>108</v>
      </c>
      <c r="AN33" s="12" t="str">
        <f aca="false">IFERROR(E33*(1+IF(AM33="Apartment",Data_Summary!$C$3,0)),"")</f>
        <v/>
      </c>
    </row>
    <row r="34" customFormat="false" ht="15" hidden="false" customHeight="true" outlineLevel="0" collapsed="false">
      <c r="A34" s="9" t="n">
        <f aca="false">IF(AND(ISNUMBER(B34),B34&gt;0,ISNUMBER(AB34),AB34&gt;0,J34&gt;=Data_Summary!$C$1),1,0)</f>
        <v>0</v>
      </c>
      <c r="B34" s="99"/>
      <c r="C34" s="14" t="n">
        <f aca="false">IF(ISNUMBER(AB34),AB34,"")</f>
        <v>1280</v>
      </c>
      <c r="D34" s="85" t="n">
        <f aca="false">IF(ISNUMBER(C34),C34-U34*Data_Summary!$C$2,"")</f>
        <v>1280</v>
      </c>
      <c r="E34" s="100" t="str">
        <f aca="false">IFERROR(C34/B34,"")</f>
        <v/>
      </c>
      <c r="F34" s="16" t="str">
        <f aca="false">IFERROR(D34/B34,"")</f>
        <v/>
      </c>
      <c r="G34" s="13" t="str">
        <f aca="false">Q34</f>
        <v>1</v>
      </c>
      <c r="H34" s="13" t="str">
        <f aca="false">IFERROR(LEFT(G34,1),"")</f>
        <v>1</v>
      </c>
      <c r="I34" s="13" t="n">
        <f aca="false">IF(LEN(G34)&gt;1,1,0)</f>
        <v>0</v>
      </c>
      <c r="J34" s="87" t="n">
        <v>45860</v>
      </c>
      <c r="K34" s="1" t="s">
        <v>10</v>
      </c>
      <c r="L34" s="1" t="s">
        <v>105</v>
      </c>
      <c r="M34" s="1" t="s">
        <v>191</v>
      </c>
      <c r="N34" s="1" t="s">
        <v>107</v>
      </c>
      <c r="O34" s="1" t="s">
        <v>380</v>
      </c>
      <c r="P34" s="1" t="s">
        <v>381</v>
      </c>
      <c r="Q34" s="1" t="s">
        <v>224</v>
      </c>
      <c r="R34" s="31" t="n">
        <v>1</v>
      </c>
      <c r="S34" s="98"/>
      <c r="T34" s="1" t="s">
        <v>216</v>
      </c>
      <c r="U34" s="31" t="n">
        <v>0</v>
      </c>
      <c r="V34" s="1" t="s">
        <v>201</v>
      </c>
      <c r="W34" s="1" t="s">
        <v>209</v>
      </c>
      <c r="X34" s="1" t="s">
        <v>198</v>
      </c>
      <c r="Z34" s="1" t="s">
        <v>131</v>
      </c>
      <c r="AA34" s="1" t="s">
        <v>200</v>
      </c>
      <c r="AB34" s="88" t="n">
        <v>1280</v>
      </c>
      <c r="AC34" s="88" t="n">
        <v>1380</v>
      </c>
      <c r="AD34" s="16" t="str">
        <f aca="false">IFERROR(AB34/B34,"")</f>
        <v/>
      </c>
      <c r="AE34" s="16" t="str">
        <f aca="false">IFERROR(AC34/B34,"")</f>
        <v/>
      </c>
      <c r="AF34" s="1" t="s">
        <v>201</v>
      </c>
      <c r="AG34" s="1" t="s">
        <v>201</v>
      </c>
      <c r="AH34" s="1" t="s">
        <v>201</v>
      </c>
      <c r="AI34" s="1" t="s">
        <v>382</v>
      </c>
      <c r="AJ34" s="1" t="s">
        <v>383</v>
      </c>
      <c r="AK34" s="1" t="s">
        <v>384</v>
      </c>
      <c r="AL34" s="1" t="s">
        <v>385</v>
      </c>
      <c r="AM34" s="1" t="s">
        <v>108</v>
      </c>
      <c r="AN34" s="12" t="str">
        <f aca="false">IFERROR(E34*(1+IF(AM34="Apartment",Data_Summary!$C$3,0)),"")</f>
        <v/>
      </c>
    </row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</sheetData>
  <autoFilter ref="A1:AN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0"/>
    <col collapsed="false" customWidth="true" hidden="false" outlineLevel="0" max="3" min="3" style="1" width="22"/>
    <col collapsed="false" customWidth="true" hidden="false" outlineLevel="0" max="4" min="4" style="1" width="12"/>
    <col collapsed="false" customWidth="true" hidden="false" outlineLevel="0" max="6" min="5" style="1" width="6"/>
    <col collapsed="false" customWidth="true" hidden="false" outlineLevel="0" max="7" min="7" style="1" width="8"/>
    <col collapsed="false" customWidth="true" hidden="false" outlineLevel="0" max="8" min="8" style="1" width="10"/>
  </cols>
  <sheetData>
    <row r="1" customFormat="false" ht="15" hidden="false" customHeight="true" outlineLevel="0" collapsed="false">
      <c r="A1" s="53" t="s">
        <v>163</v>
      </c>
      <c r="B1" s="53" t="s">
        <v>164</v>
      </c>
      <c r="C1" s="53" t="s">
        <v>165</v>
      </c>
      <c r="D1" s="53" t="s">
        <v>386</v>
      </c>
      <c r="E1" s="53" t="s">
        <v>137</v>
      </c>
      <c r="F1" s="53" t="s">
        <v>168</v>
      </c>
      <c r="G1" s="53" t="s">
        <v>387</v>
      </c>
      <c r="H1" s="53" t="s">
        <v>175</v>
      </c>
    </row>
    <row r="2" customFormat="false" ht="15" hidden="false" customHeight="true" outlineLevel="0" collapsed="false">
      <c r="A2" s="1" t="s">
        <v>10</v>
      </c>
      <c r="B2" s="1" t="s">
        <v>105</v>
      </c>
      <c r="C2" s="1" t="s">
        <v>191</v>
      </c>
      <c r="D2" s="1" t="s">
        <v>388</v>
      </c>
      <c r="E2" s="31" t="n">
        <v>1</v>
      </c>
      <c r="F2" s="31" t="n">
        <v>1</v>
      </c>
      <c r="G2" s="31" t="n">
        <v>556</v>
      </c>
      <c r="H2" s="1" t="s">
        <v>289</v>
      </c>
    </row>
    <row r="3" customFormat="false" ht="15" hidden="false" customHeight="true" outlineLevel="0" collapsed="false">
      <c r="A3" s="1" t="s">
        <v>10</v>
      </c>
      <c r="B3" s="1" t="s">
        <v>105</v>
      </c>
      <c r="C3" s="1" t="s">
        <v>191</v>
      </c>
      <c r="D3" s="1" t="s">
        <v>389</v>
      </c>
      <c r="E3" s="31" t="n">
        <v>1</v>
      </c>
      <c r="F3" s="31" t="n">
        <v>1</v>
      </c>
      <c r="G3" s="31" t="n">
        <v>617</v>
      </c>
      <c r="H3" s="1" t="s">
        <v>225</v>
      </c>
    </row>
    <row r="4" customFormat="false" ht="15" hidden="false" customHeight="true" outlineLevel="0" collapsed="false">
      <c r="A4" s="1" t="s">
        <v>10</v>
      </c>
      <c r="B4" s="1" t="s">
        <v>105</v>
      </c>
      <c r="C4" s="1" t="s">
        <v>191</v>
      </c>
      <c r="D4" s="1" t="s">
        <v>390</v>
      </c>
      <c r="E4" s="31" t="n">
        <v>1</v>
      </c>
      <c r="F4" s="31" t="n">
        <v>1</v>
      </c>
      <c r="G4" s="31" t="n">
        <v>583</v>
      </c>
      <c r="H4" s="1" t="s">
        <v>210</v>
      </c>
    </row>
    <row r="5" customFormat="false" ht="15" hidden="false" customHeight="true" outlineLevel="0" collapsed="false">
      <c r="A5" s="1" t="s">
        <v>10</v>
      </c>
      <c r="B5" s="1" t="s">
        <v>105</v>
      </c>
      <c r="C5" s="1" t="s">
        <v>191</v>
      </c>
      <c r="D5" s="1" t="s">
        <v>391</v>
      </c>
      <c r="E5" s="31" t="n">
        <v>1</v>
      </c>
      <c r="F5" s="31" t="n">
        <v>1</v>
      </c>
      <c r="G5" s="31" t="n">
        <v>588</v>
      </c>
      <c r="H5" s="1" t="s">
        <v>250</v>
      </c>
    </row>
    <row r="6" customFormat="false" ht="15" hidden="false" customHeight="true" outlineLevel="0" collapsed="false">
      <c r="A6" s="1" t="s">
        <v>10</v>
      </c>
      <c r="B6" s="1" t="s">
        <v>105</v>
      </c>
      <c r="C6" s="1" t="s">
        <v>191</v>
      </c>
      <c r="D6" s="1" t="s">
        <v>392</v>
      </c>
      <c r="E6" s="31" t="n">
        <v>1</v>
      </c>
      <c r="F6" s="31" t="n">
        <v>1</v>
      </c>
      <c r="G6" s="31" t="n">
        <v>663</v>
      </c>
      <c r="H6" s="1" t="s">
        <v>218</v>
      </c>
    </row>
    <row r="7" customFormat="false" ht="15" hidden="false" customHeight="true" outlineLevel="0" collapsed="false">
      <c r="A7" s="1" t="s">
        <v>10</v>
      </c>
      <c r="B7" s="1" t="s">
        <v>105</v>
      </c>
      <c r="C7" s="1" t="s">
        <v>191</v>
      </c>
      <c r="D7" s="1" t="s">
        <v>393</v>
      </c>
      <c r="E7" s="31" t="n">
        <v>1</v>
      </c>
      <c r="F7" s="31" t="n">
        <v>1</v>
      </c>
      <c r="G7" s="31" t="n">
        <v>694</v>
      </c>
      <c r="H7" s="1" t="s">
        <v>210</v>
      </c>
    </row>
    <row r="8" customFormat="false" ht="15" hidden="false" customHeight="true" outlineLevel="0" collapsed="false">
      <c r="A8" s="1" t="s">
        <v>10</v>
      </c>
      <c r="B8" s="1" t="s">
        <v>105</v>
      </c>
      <c r="C8" s="1" t="s">
        <v>191</v>
      </c>
      <c r="D8" s="1" t="s">
        <v>394</v>
      </c>
      <c r="E8" s="31" t="n">
        <v>1</v>
      </c>
      <c r="F8" s="31" t="n">
        <v>2</v>
      </c>
      <c r="G8" s="31" t="n">
        <v>751</v>
      </c>
      <c r="H8" s="1" t="s">
        <v>218</v>
      </c>
    </row>
    <row r="9" customFormat="false" ht="15" hidden="false" customHeight="true" outlineLevel="0" collapsed="false">
      <c r="A9" s="1" t="s">
        <v>10</v>
      </c>
      <c r="B9" s="1" t="s">
        <v>105</v>
      </c>
      <c r="C9" s="1" t="s">
        <v>191</v>
      </c>
      <c r="D9" s="1" t="s">
        <v>395</v>
      </c>
      <c r="E9" s="31" t="n">
        <v>2</v>
      </c>
      <c r="F9" s="31" t="n">
        <v>2</v>
      </c>
      <c r="G9" s="31" t="n">
        <v>694</v>
      </c>
      <c r="H9" s="1" t="s">
        <v>396</v>
      </c>
    </row>
    <row r="10" customFormat="false" ht="15" hidden="false" customHeight="true" outlineLevel="0" collapsed="false">
      <c r="A10" s="1" t="s">
        <v>10</v>
      </c>
      <c r="B10" s="1" t="s">
        <v>105</v>
      </c>
      <c r="C10" s="1" t="s">
        <v>191</v>
      </c>
      <c r="D10" s="1" t="s">
        <v>397</v>
      </c>
      <c r="E10" s="31" t="n">
        <v>2</v>
      </c>
      <c r="F10" s="31" t="n">
        <v>2</v>
      </c>
      <c r="G10" s="31" t="n">
        <v>715</v>
      </c>
      <c r="H10" s="1" t="s">
        <v>398</v>
      </c>
    </row>
    <row r="11" customFormat="false" ht="15" hidden="false" customHeight="true" outlineLevel="0" collapsed="false">
      <c r="A11" s="1" t="s">
        <v>10</v>
      </c>
      <c r="B11" s="1" t="s">
        <v>105</v>
      </c>
      <c r="C11" s="1" t="s">
        <v>191</v>
      </c>
      <c r="D11" s="1" t="s">
        <v>399</v>
      </c>
      <c r="E11" s="31" t="n">
        <v>2</v>
      </c>
      <c r="F11" s="31" t="n">
        <v>2</v>
      </c>
      <c r="G11" s="31" t="n">
        <v>788</v>
      </c>
      <c r="H11" s="1" t="s">
        <v>218</v>
      </c>
    </row>
    <row r="12" customFormat="false" ht="15" hidden="false" customHeight="true" outlineLevel="0" collapsed="false">
      <c r="A12" s="1" t="s">
        <v>10</v>
      </c>
      <c r="B12" s="1" t="s">
        <v>105</v>
      </c>
      <c r="C12" s="1" t="s">
        <v>191</v>
      </c>
      <c r="D12" s="1" t="s">
        <v>400</v>
      </c>
      <c r="E12" s="31" t="n">
        <v>2</v>
      </c>
      <c r="F12" s="31" t="n">
        <v>2</v>
      </c>
      <c r="G12" s="31" t="n">
        <v>797</v>
      </c>
      <c r="H12" s="1" t="s">
        <v>218</v>
      </c>
    </row>
    <row r="13" customFormat="false" ht="15" hidden="false" customHeight="true" outlineLevel="0" collapsed="false">
      <c r="A13" s="1" t="s">
        <v>10</v>
      </c>
      <c r="B13" s="1" t="s">
        <v>105</v>
      </c>
      <c r="C13" s="1" t="s">
        <v>191</v>
      </c>
      <c r="D13" s="1" t="s">
        <v>401</v>
      </c>
      <c r="E13" s="31" t="n">
        <v>2</v>
      </c>
      <c r="F13" s="31" t="n">
        <v>2</v>
      </c>
      <c r="G13" s="31" t="n">
        <v>816</v>
      </c>
      <c r="H13" s="1" t="s">
        <v>225</v>
      </c>
    </row>
    <row r="14" customFormat="false" ht="15" hidden="false" customHeight="true" outlineLevel="0" collapsed="false">
      <c r="A14" s="1" t="s">
        <v>10</v>
      </c>
      <c r="B14" s="1" t="s">
        <v>105</v>
      </c>
      <c r="C14" s="1" t="s">
        <v>191</v>
      </c>
      <c r="D14" s="1" t="s">
        <v>402</v>
      </c>
      <c r="E14" s="31" t="n">
        <v>3</v>
      </c>
      <c r="F14" s="31" t="n">
        <v>2</v>
      </c>
      <c r="G14" s="31" t="n">
        <v>988</v>
      </c>
      <c r="H14" s="1" t="s">
        <v>250</v>
      </c>
    </row>
    <row r="15" customFormat="false" ht="15" hidden="false" customHeight="true" outlineLevel="0" collapsed="false">
      <c r="A15" s="89" t="s">
        <v>10</v>
      </c>
      <c r="B15" s="89" t="s">
        <v>105</v>
      </c>
      <c r="C15" s="89" t="s">
        <v>191</v>
      </c>
      <c r="D15" s="89" t="s">
        <v>403</v>
      </c>
      <c r="E15" s="89" t="n">
        <v>3</v>
      </c>
      <c r="F15" s="89" t="n">
        <v>2</v>
      </c>
      <c r="G15" s="89" t="n">
        <v>1135</v>
      </c>
      <c r="H15" s="89" t="s">
        <v>199</v>
      </c>
    </row>
    <row r="16" customFormat="false" ht="15" hidden="false" customHeight="true" outlineLevel="0" collapsed="false"/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2026-06-09T14:06:57Z</dcterms:created>
  <dc:creator>openpyxl</dc:creator>
  <dc:description/>
  <dc:language>en-US</dc:language>
  <cp:lastModifiedBy/>
  <dcterms:modified xsi:type="dcterms:W3CDTF">2026-06-15T13:55:29Z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